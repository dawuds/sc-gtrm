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hodology &amp; Approach" sheetId="1" state="visible" r:id="rId1"/>
    <sheet xmlns:r="http://schemas.openxmlformats.org/officeDocument/2006/relationships" name="Governance, Risk &amp; Audit" sheetId="2" state="visible" r:id="rId2"/>
    <sheet xmlns:r="http://schemas.openxmlformats.org/officeDocument/2006/relationships" name="Cybersecurity" sheetId="3" state="visible" r:id="rId3"/>
    <sheet xmlns:r="http://schemas.openxmlformats.org/officeDocument/2006/relationships" name="Resilience &amp; Incident Managemen" sheetId="4" state="visible" r:id="rId4"/>
    <sheet xmlns:r="http://schemas.openxmlformats.org/officeDocument/2006/relationships" name="Third-Party &amp; Cloud" sheetId="5" state="visible" r:id="rId5"/>
    <sheet xmlns:r="http://schemas.openxmlformats.org/officeDocument/2006/relationships" name="Data &amp; Emerging Technology" sheetId="6" state="visible" r:id="rId6"/>
    <sheet xmlns:r="http://schemas.openxmlformats.org/officeDocument/2006/relationships" name="Scoring Summary" sheetId="7" state="visible" r:id="rId7"/>
  </sheets>
  <definedNames>
    <definedName name="_xlnm._FilterDatabase" localSheetId="1" hidden="1">'Governance, Risk &amp; Audit'!$A$1:$L$1</definedName>
    <definedName name="_xlnm._FilterDatabase" localSheetId="2" hidden="1">'Cybersecurity'!$A$1:$L$1</definedName>
    <definedName name="_xlnm._FilterDatabase" localSheetId="3" hidden="1">'Resilience &amp; Incident Managemen'!$A$1:$L$1</definedName>
    <definedName name="_xlnm._FilterDatabase" localSheetId="4" hidden="1">'Third-Party &amp; Cloud'!$A$1:$L$1</definedName>
    <definedName name="_xlnm._FilterDatabase" localSheetId="5" hidden="1">'Data &amp; Emerging Technology'!$A$1:$L$1</definedName>
  </definedNames>
  <calcPr calcId="124519" fullCalcOnLoad="1"/>
</workbook>
</file>

<file path=xl/styles.xml><?xml version="1.0" encoding="utf-8"?>
<styleSheet xmlns="http://schemas.openxmlformats.org/spreadsheetml/2006/main">
  <numFmts count="1">
    <numFmt numFmtId="164" formatCode="0.0"/>
  </numFmts>
  <fonts count="24">
    <font>
      <name val="Calibri"/>
      <family val="2"/>
      <color theme="1"/>
      <sz val="11"/>
      <scheme val="minor"/>
    </font>
    <font>
      <name val="Calibri"/>
      <b val="1"/>
      <color rgb="00FFFFFF"/>
      <sz val="14"/>
    </font>
    <font>
      <name val="Calibri"/>
      <color rgb="00FFFFFF"/>
      <sz val="11"/>
    </font>
    <font>
      <name val="Calibri"/>
      <b val="1"/>
      <color rgb="001F3864"/>
      <sz val="11"/>
    </font>
    <font>
      <name val="Calibri"/>
      <b val="1"/>
      <color rgb="001F3864"/>
      <sz val="10"/>
    </font>
    <font>
      <name val="Calibri"/>
      <color rgb="00404040"/>
      <sz val="10"/>
    </font>
    <font>
      <name val="Calibri"/>
      <b val="1"/>
      <color rgb="00404040"/>
      <sz val="10"/>
    </font>
    <font>
      <name val="Calibri"/>
      <b val="1"/>
      <color rgb="00FFFFFF"/>
      <sz val="9"/>
    </font>
    <font>
      <name val="Calibri"/>
      <b val="1"/>
      <color rgb="00842029"/>
      <sz val="10"/>
    </font>
    <font>
      <name val="Calibri"/>
      <b val="1"/>
      <color rgb="000F5132"/>
      <sz val="10"/>
    </font>
    <font>
      <name val="Calibri"/>
      <b val="1"/>
      <color rgb="00664D03"/>
      <sz val="10"/>
    </font>
    <font>
      <name val="Calibri"/>
      <b val="1"/>
      <color rgb="00375623"/>
      <sz val="10"/>
    </font>
    <font>
      <name val="Calibri"/>
      <b val="1"/>
      <color rgb="00E65100"/>
      <sz val="10"/>
    </font>
    <font>
      <name val="Calibri"/>
      <b val="1"/>
      <color rgb="00C62828"/>
      <sz val="10"/>
    </font>
    <font>
      <name val="Calibri"/>
      <b val="1"/>
      <color rgb="00546E7A"/>
      <sz val="10"/>
    </font>
    <font>
      <name val="Calibri"/>
      <b val="1"/>
      <color rgb="00FFFFFF"/>
      <sz val="10"/>
    </font>
    <font>
      <name val="Calibri"/>
      <i val="1"/>
      <color rgb="002B4C7E"/>
      <sz val="9"/>
    </font>
    <font>
      <name val="Calibri"/>
      <i val="1"/>
      <color rgb="0092400E"/>
      <sz val="9"/>
    </font>
    <font>
      <name val="Calibri"/>
      <b val="1"/>
      <color rgb="00FFFFFF"/>
      <sz val="12"/>
    </font>
    <font>
      <name val="Calibri"/>
      <b val="1"/>
      <sz val="9"/>
    </font>
    <font>
      <name val="Calibri"/>
      <b val="1"/>
      <color rgb="00842029"/>
      <sz val="9"/>
    </font>
    <font>
      <name val="Calibri"/>
      <b val="1"/>
      <color rgb="000F5132"/>
      <sz val="9"/>
    </font>
    <font>
      <name val="Calibri"/>
      <b val="1"/>
      <color rgb="00664D03"/>
      <sz val="9"/>
    </font>
    <font>
      <name val="Calibri"/>
      <b val="1"/>
      <color rgb="00404040"/>
      <sz val="12"/>
    </font>
  </fonts>
  <fills count="18">
    <fill>
      <patternFill/>
    </fill>
    <fill>
      <patternFill patternType="gray125"/>
    </fill>
    <fill>
      <patternFill patternType="solid">
        <fgColor rgb="001F3864"/>
        <bgColor rgb="001F3864"/>
      </patternFill>
    </fill>
    <fill>
      <patternFill patternType="solid">
        <fgColor rgb="002B4C7E"/>
        <bgColor rgb="002B4C7E"/>
      </patternFill>
    </fill>
    <fill>
      <patternFill patternType="solid">
        <fgColor rgb="00D6E4F0"/>
        <bgColor rgb="00D6E4F0"/>
      </patternFill>
    </fill>
    <fill>
      <patternFill patternType="solid">
        <fgColor rgb="00F8D7DA"/>
        <bgColor rgb="00F8D7DA"/>
      </patternFill>
    </fill>
    <fill>
      <patternFill patternType="solid">
        <fgColor rgb="00D1E7DD"/>
        <bgColor rgb="00D1E7DD"/>
      </patternFill>
    </fill>
    <fill>
      <patternFill patternType="solid">
        <fgColor rgb="00FFF3CD"/>
        <bgColor rgb="00FFF3CD"/>
      </patternFill>
    </fill>
    <fill>
      <patternFill patternType="solid">
        <fgColor rgb="00E2EFDA"/>
        <bgColor rgb="00E2EFDA"/>
      </patternFill>
    </fill>
    <fill>
      <patternFill patternType="solid">
        <fgColor rgb="00FFF3E0"/>
        <bgColor rgb="00FFF3E0"/>
      </patternFill>
    </fill>
    <fill>
      <patternFill patternType="solid">
        <fgColor rgb="00FCE4EC"/>
        <bgColor rgb="00FCE4EC"/>
      </patternFill>
    </fill>
    <fill>
      <patternFill patternType="solid">
        <fgColor rgb="00ECEFF1"/>
        <bgColor rgb="00ECEFF1"/>
      </patternFill>
    </fill>
    <fill>
      <patternFill patternType="solid">
        <fgColor rgb="008B1A1A"/>
        <bgColor rgb="008B1A1A"/>
      </patternFill>
    </fill>
    <fill>
      <patternFill patternType="solid">
        <fgColor rgb="00EBF0F7"/>
        <bgColor rgb="00EBF0F7"/>
      </patternFill>
    </fill>
    <fill>
      <patternFill patternType="solid">
        <fgColor rgb="00FFFFF5"/>
        <bgColor rgb="00FFFFF5"/>
      </patternFill>
    </fill>
    <fill>
      <patternFill patternType="solid">
        <fgColor rgb="00E9EFF7"/>
        <bgColor rgb="00E9EFF7"/>
      </patternFill>
    </fill>
    <fill>
      <patternFill patternType="solid">
        <fgColor rgb="00FFF2CC"/>
        <bgColor rgb="00FFF2CC"/>
      </patternFill>
    </fill>
    <fill>
      <patternFill patternType="solid">
        <fgColor rgb="007D6608"/>
        <bgColor rgb="007D6608"/>
      </patternFill>
    </fill>
  </fills>
  <borders count="5">
    <border>
      <left/>
      <right/>
      <top/>
      <bottom/>
      <diagonal/>
    </border>
    <border>
      <bottom style="medium">
        <color rgb="001F3864"/>
      </bottom>
    </border>
    <border>
      <bottom style="thin">
        <color rgb="00B4B4B4"/>
      </bottom>
    </border>
    <border>
      <left style="thin">
        <color rgb="00B4B4B4"/>
      </left>
      <right style="thin">
        <color rgb="00B4B4B4"/>
      </right>
      <top style="thin">
        <color rgb="00B4B4B4"/>
      </top>
      <bottom style="thin">
        <color rgb="00B4B4B4"/>
      </bottom>
    </border>
    <border>
      <left style="thin">
        <color rgb="008EAADB"/>
      </left>
      <right style="thin">
        <color rgb="008EAADB"/>
      </right>
      <top style="thin">
        <color rgb="008EAADB"/>
      </top>
      <bottom style="thin">
        <color rgb="008EAADB"/>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pivotButton="0" quotePrefix="0" xfId="0"/>
    <xf numFmtId="0" fontId="4" fillId="0" borderId="0" applyAlignment="1" pivotButton="0" quotePrefix="0" xfId="0">
      <alignment vertical="top"/>
    </xf>
    <xf numFmtId="0" fontId="5" fillId="0" borderId="2" applyAlignment="1" pivotButton="0" quotePrefix="0" xfId="0">
      <alignment vertical="top"/>
    </xf>
    <xf numFmtId="0" fontId="5" fillId="0" borderId="0" applyAlignment="1" pivotButton="0" quotePrefix="0" xfId="0">
      <alignment vertical="top" wrapText="1"/>
    </xf>
    <xf numFmtId="0" fontId="6" fillId="0" borderId="0" applyAlignment="1" pivotButton="0" quotePrefix="0" xfId="0">
      <alignment vertical="top"/>
    </xf>
    <xf numFmtId="0" fontId="4" fillId="0" borderId="0" pivotButton="0" quotePrefix="0" xfId="0"/>
    <xf numFmtId="0" fontId="7" fillId="3" borderId="3" applyAlignment="1" pivotButton="0" quotePrefix="0" xfId="0">
      <alignment horizontal="center" vertical="center"/>
    </xf>
    <xf numFmtId="0" fontId="5" fillId="0" borderId="3" applyAlignment="1" pivotButton="0" quotePrefix="0" xfId="0">
      <alignment horizontal="center" vertical="center"/>
    </xf>
    <xf numFmtId="0" fontId="5" fillId="0" borderId="3" applyAlignment="1" pivotButton="0" quotePrefix="0" xfId="0">
      <alignment vertical="top" wrapText="1"/>
    </xf>
    <xf numFmtId="0" fontId="8" fillId="5" borderId="3" applyAlignment="1" pivotButton="0" quotePrefix="0" xfId="0">
      <alignment vertical="top" wrapText="1"/>
    </xf>
    <xf numFmtId="0" fontId="9" fillId="6" borderId="3" applyAlignment="1" pivotButton="0" quotePrefix="0" xfId="0">
      <alignment vertical="top" wrapText="1"/>
    </xf>
    <xf numFmtId="0" fontId="10" fillId="7" borderId="3" applyAlignment="1" pivotButton="0" quotePrefix="0" xfId="0">
      <alignment vertical="top" wrapText="1"/>
    </xf>
    <xf numFmtId="0" fontId="11" fillId="8" borderId="0" applyAlignment="1" pivotButton="0" quotePrefix="0" xfId="0">
      <alignment vertical="top"/>
    </xf>
    <xf numFmtId="0" fontId="12" fillId="9" borderId="0" applyAlignment="1" pivotButton="0" quotePrefix="0" xfId="0">
      <alignment vertical="top"/>
    </xf>
    <xf numFmtId="0" fontId="13" fillId="10" borderId="0" applyAlignment="1" pivotButton="0" quotePrefix="0" xfId="0">
      <alignment vertical="top"/>
    </xf>
    <xf numFmtId="0" fontId="14" fillId="11" borderId="0" applyAlignment="1" pivotButton="0" quotePrefix="0" xfId="0">
      <alignment vertical="top"/>
    </xf>
    <xf numFmtId="0" fontId="5" fillId="0" borderId="2" pivotButton="0" quotePrefix="0" xfId="0"/>
    <xf numFmtId="0" fontId="15" fillId="2" borderId="3" applyAlignment="1" pivotButton="0" quotePrefix="0" xfId="0">
      <alignment horizontal="center" vertical="top" wrapText="1"/>
    </xf>
    <xf numFmtId="0" fontId="15" fillId="2" borderId="0" applyAlignment="1" pivotButton="0" quotePrefix="0" xfId="0">
      <alignment horizontal="center" vertical="top" wrapText="1"/>
    </xf>
    <xf numFmtId="0" fontId="15" fillId="12" borderId="3" applyAlignment="1" pivotButton="0" quotePrefix="0" xfId="0">
      <alignment vertical="center"/>
    </xf>
    <xf numFmtId="0" fontId="16" fillId="13" borderId="4" applyAlignment="1" pivotButton="0" quotePrefix="0" xfId="0">
      <alignment vertical="top" wrapText="1"/>
    </xf>
    <xf numFmtId="0" fontId="6" fillId="0" borderId="3" applyAlignment="1" pivotButton="0" quotePrefix="0" xfId="0">
      <alignment horizontal="center" vertical="top" wrapText="1"/>
    </xf>
    <xf numFmtId="0" fontId="5" fillId="0" borderId="3" applyAlignment="1" pivotButton="0" quotePrefix="0" xfId="0">
      <alignment horizontal="center" vertical="top" wrapText="1"/>
    </xf>
    <xf numFmtId="0" fontId="5" fillId="14" borderId="3" applyAlignment="1" pivotButton="0" quotePrefix="0" xfId="0">
      <alignment vertical="top" wrapText="1"/>
    </xf>
    <xf numFmtId="0" fontId="6" fillId="15" borderId="3" applyAlignment="1" pivotButton="0" quotePrefix="0" xfId="0">
      <alignment horizontal="center" vertical="top" wrapText="1"/>
    </xf>
    <xf numFmtId="0" fontId="5" fillId="15" borderId="3" applyAlignment="1" pivotButton="0" quotePrefix="0" xfId="0">
      <alignment vertical="top" wrapText="1"/>
    </xf>
    <xf numFmtId="0" fontId="5" fillId="15" borderId="3" applyAlignment="1" pivotButton="0" quotePrefix="0" xfId="0">
      <alignment horizontal="center" vertical="top" wrapText="1"/>
    </xf>
    <xf numFmtId="0" fontId="15" fillId="3" borderId="3" applyAlignment="1" pivotButton="0" quotePrefix="0" xfId="0">
      <alignment vertical="center"/>
    </xf>
    <xf numFmtId="0" fontId="17" fillId="16" borderId="0" applyAlignment="1" pivotButton="0" quotePrefix="0" xfId="0">
      <alignment vertical="top" wrapText="1"/>
    </xf>
    <xf numFmtId="0" fontId="15" fillId="17" borderId="3" applyAlignment="1" pivotButton="0" quotePrefix="0" xfId="0">
      <alignment vertical="center"/>
    </xf>
    <xf numFmtId="0" fontId="18" fillId="2" borderId="0" applyAlignment="1" pivotButton="0" quotePrefix="0" xfId="0">
      <alignment horizontal="center" vertical="center"/>
    </xf>
    <xf numFmtId="0" fontId="20" fillId="5" borderId="3" applyAlignment="1" pivotButton="0" quotePrefix="0" xfId="0">
      <alignment horizontal="center" vertical="center"/>
    </xf>
    <xf numFmtId="2" fontId="6" fillId="0" borderId="3" applyAlignment="1" pivotButton="0" quotePrefix="0" xfId="0">
      <alignment horizontal="center" vertical="center"/>
    </xf>
    <xf numFmtId="0" fontId="21" fillId="6" borderId="3" applyAlignment="1" pivotButton="0" quotePrefix="0" xfId="0">
      <alignment horizontal="center" vertical="center"/>
    </xf>
    <xf numFmtId="0" fontId="22" fillId="7" borderId="3" applyAlignment="1" pivotButton="0" quotePrefix="0" xfId="0">
      <alignment horizontal="center" vertical="center"/>
    </xf>
    <xf numFmtId="0" fontId="6" fillId="0" borderId="3" applyAlignment="1" pivotButton="0" quotePrefix="0" xfId="0">
      <alignment vertical="top" wrapText="1"/>
    </xf>
    <xf numFmtId="0" fontId="4" fillId="0" borderId="3" pivotButton="0" quotePrefix="0" xfId="0"/>
    <xf numFmtId="2" fontId="23" fillId="0" borderId="3" applyAlignment="1" pivotButton="0" quotePrefix="0" xfId="0">
      <alignment horizontal="center" vertical="center"/>
    </xf>
    <xf numFmtId="0" fontId="23" fillId="0" borderId="3" applyAlignment="1" pivotButton="0" quotePrefix="0" xfId="0">
      <alignment horizontal="center" vertical="center"/>
    </xf>
    <xf numFmtId="164" fontId="23" fillId="0" borderId="3"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G67"/>
  <sheetViews>
    <sheetView showGridLines="0" workbookViewId="0">
      <pane ySplit="3" topLeftCell="A4" activePane="bottomLeft" state="frozen"/>
      <selection pane="bottomLeft" activeCell="A1" sqref="A1"/>
    </sheetView>
  </sheetViews>
  <sheetFormatPr baseColWidth="8" defaultRowHeight="15"/>
  <cols>
    <col width="28" customWidth="1" min="1" max="1"/>
    <col width="50" customWidth="1" min="2" max="2"/>
    <col width="14" customWidth="1" min="3" max="3"/>
    <col width="14" customWidth="1" min="4" max="4"/>
    <col width="14" customWidth="1" min="5" max="5"/>
    <col width="14" customWidth="1" min="6" max="6"/>
    <col width="14" customWidth="1" min="7" max="7"/>
  </cols>
  <sheetData>
    <row r="1" ht="36" customHeight="1">
      <c r="A1" s="1" t="inlineStr">
        <is>
          <t>INDEPENDENT ASSESSMENT — METHODOLOGY &amp; APPROACH</t>
        </is>
      </c>
    </row>
    <row r="2" ht="24" customHeight="1">
      <c r="A2" s="2" t="inlineStr">
        <is>
          <t>SC-GL/6-2023 Guidelines on Technology Risk Management — Capital Market Intermediary</t>
        </is>
      </c>
    </row>
    <row r="4" ht="22" customHeight="1">
      <c r="A4" s="3" t="inlineStr">
        <is>
          <t>ENGAGEMENT DETAILS</t>
        </is>
      </c>
    </row>
    <row r="5">
      <c r="A5" s="4" t="inlineStr">
        <is>
          <t>Entity Name:</t>
        </is>
      </c>
      <c r="B5" s="5" t="inlineStr">
        <is>
          <t>[Entity Name]</t>
        </is>
      </c>
    </row>
    <row r="6">
      <c r="A6" s="4" t="inlineStr">
        <is>
          <t>Regulated Activity:</t>
        </is>
      </c>
      <c r="B6" s="5" t="inlineStr">
        <is>
          <t>Capital Market Intermediary (CMSL/CMSRL Holder)</t>
        </is>
      </c>
    </row>
    <row r="7">
      <c r="A7" s="4" t="inlineStr">
        <is>
          <t>Assessment Date:</t>
        </is>
      </c>
      <c r="B7" s="5" t="inlineStr">
        <is>
          <t>[DD/MM/YYYY]</t>
        </is>
      </c>
    </row>
    <row r="8">
      <c r="A8" s="4" t="inlineStr">
        <is>
          <t>Assessment Period:</t>
        </is>
      </c>
      <c r="B8" s="5" t="inlineStr">
        <is>
          <t>[Start Date] to [End Date]</t>
        </is>
      </c>
    </row>
    <row r="9">
      <c r="A9" s="4" t="inlineStr">
        <is>
          <t>Lead Assessor:</t>
        </is>
      </c>
      <c r="B9" s="5" t="inlineStr">
        <is>
          <t>[Name, Qualification]</t>
        </is>
      </c>
    </row>
    <row r="10">
      <c r="A10" s="4" t="inlineStr">
        <is>
          <t>Engagement Reference:</t>
        </is>
      </c>
      <c r="B10" s="5" t="inlineStr">
        <is>
          <t>[Ref Number]</t>
        </is>
      </c>
    </row>
    <row r="11">
      <c r="A11" s="4" t="inlineStr">
        <is>
          <t>Report Classification:</t>
        </is>
      </c>
      <c r="B11" s="5" t="inlineStr">
        <is>
          <t>Confidential (Sulit)</t>
        </is>
      </c>
    </row>
    <row r="13" ht="22" customHeight="1">
      <c r="A13" s="3" t="inlineStr">
        <is>
          <t>SCOPE OF ASSESSMENT</t>
        </is>
      </c>
    </row>
    <row r="14" ht="40" customHeight="1">
      <c r="A14" s="6" t="inlineStr">
        <is>
          <t>This assessment is conducted pursuant to SC-GL/6-2023 Guidelines on Technology Risk Management for capital market intermediaries regulated by the Securities Commission Malaysia.</t>
        </is>
      </c>
    </row>
    <row r="15" ht="40" customHeight="1">
      <c r="A15" s="6" t="inlineStr">
        <is>
          <t>The objective is to ascertain that the entity has established and maintains an effective technology risk management framework covering governance, cybersecurity, resilience, third-party management, data protection, and emerging technology risks.</t>
        </is>
      </c>
    </row>
    <row r="16" ht="40" customHeight="1">
      <c r="A16" s="6" t="inlineStr">
        <is>
          <t>Assessment covers 35 controls across 10 domains: (1) Governance &amp; Oversight, (2) Technology Risk Assessment, (3) Cybersecurity, (4) Business Continuity, (5) Incident Management, (6) Third-Party Risk, (7) Cloud Services, (8) Data Management, (9) Technology Audit, (10) Emerging Technology.</t>
        </is>
      </c>
    </row>
    <row r="17" ht="40" customHeight="1">
      <c r="A17" s="6" t="inlineStr">
        <is>
          <t>IMPORTANT: Third-party validation does not guarantee SC approval. Areas assessed reflect the assessor's professional judgement guided by SC-GL/6-2023 and may not cover every SC expectation.</t>
        </is>
      </c>
    </row>
    <row r="19" ht="22" customHeight="1">
      <c r="A19" s="3" t="inlineStr">
        <is>
          <t>ASSESSMENT METHODS</t>
        </is>
      </c>
    </row>
    <row r="20" ht="36" customHeight="1">
      <c r="A20" s="7" t="inlineStr">
        <is>
          <t>Inspection</t>
        </is>
      </c>
      <c r="B20" s="6" t="inlineStr">
        <is>
          <t>Examination of documents, records, policies, configurations, and tangible evidence to verify existence, completeness, and compliance with SC-GL/6-2023 requirements.</t>
        </is>
      </c>
    </row>
    <row r="21" ht="36" customHeight="1">
      <c r="A21" s="7" t="inlineStr">
        <is>
          <t>Inquiry</t>
        </is>
      </c>
      <c r="B21" s="6" t="inlineStr">
        <is>
          <t>Interviews with management, process owners, and staff to understand controls and their operating effectiveness within the capital market entity.</t>
        </is>
      </c>
    </row>
    <row r="22" ht="36" customHeight="1">
      <c r="A22" s="7" t="inlineStr">
        <is>
          <t>Observation</t>
        </is>
      </c>
      <c r="B22" s="6" t="inlineStr">
        <is>
          <t>Direct observation of processes, systems, and activities being performed.</t>
        </is>
      </c>
    </row>
    <row r="23" ht="36" customHeight="1">
      <c r="A23" s="7" t="inlineStr">
        <is>
          <t>Confirmation</t>
        </is>
      </c>
      <c r="B23" s="6" t="inlineStr">
        <is>
          <t>Verification with external or independent parties (e.g., CSP certifications, third-party audit reports).</t>
        </is>
      </c>
    </row>
    <row r="25" ht="22" customHeight="1">
      <c r="A25" s="3" t="inlineStr">
        <is>
          <t>SAMPLING METHODOLOGY</t>
        </is>
      </c>
    </row>
    <row r="26" ht="48" customHeight="1">
      <c r="A26" s="6" t="inlineStr">
        <is>
          <t>This assessment uses judgemental (non-statistical) sampling. Sample sizes are determined by population size and control risk tier. The assessor exercises professional judgement in sample selection, prioritising items with higher inherent risk, recent changes, or anomalies identified during the assessment.</t>
        </is>
      </c>
    </row>
    <row r="28">
      <c r="A28" s="8" t="inlineStr">
        <is>
          <t>Table 1 — Population-Based Sample Sizes</t>
        </is>
      </c>
    </row>
    <row r="29">
      <c r="A29" s="9" t="inlineStr">
        <is>
          <t>Population Size</t>
        </is>
      </c>
      <c r="B29" s="9" t="inlineStr">
        <is>
          <t>Standard Risk</t>
        </is>
      </c>
      <c r="C29" s="9" t="inlineStr">
        <is>
          <t>High Risk (Critical Tier)</t>
        </is>
      </c>
      <c r="D29" s="9" t="inlineStr">
        <is>
          <t>Rationale</t>
        </is>
      </c>
    </row>
    <row r="30">
      <c r="A30" s="10" t="inlineStr">
        <is>
          <t>1–5</t>
        </is>
      </c>
      <c r="B30" s="10" t="inlineStr">
        <is>
          <t>All</t>
        </is>
      </c>
      <c r="C30" s="10" t="inlineStr">
        <is>
          <t>All</t>
        </is>
      </c>
      <c r="D30" s="10" t="inlineStr">
        <is>
          <t>Full coverage feasible</t>
        </is>
      </c>
    </row>
    <row r="31">
      <c r="A31" s="10" t="inlineStr">
        <is>
          <t>6–15</t>
        </is>
      </c>
      <c r="B31" s="10" t="inlineStr">
        <is>
          <t>3</t>
        </is>
      </c>
      <c r="C31" s="10" t="inlineStr">
        <is>
          <t>5</t>
        </is>
      </c>
      <c r="D31" s="10" t="inlineStr">
        <is>
          <t>~25–40% coverage</t>
        </is>
      </c>
    </row>
    <row r="32">
      <c r="A32" s="10" t="inlineStr">
        <is>
          <t>16–50</t>
        </is>
      </c>
      <c r="B32" s="10" t="inlineStr">
        <is>
          <t>5</t>
        </is>
      </c>
      <c r="C32" s="10" t="inlineStr">
        <is>
          <t>8</t>
        </is>
      </c>
      <c r="D32" s="10" t="inlineStr">
        <is>
          <t>Sufficient for pattern detection</t>
        </is>
      </c>
    </row>
    <row r="33">
      <c r="A33" s="10" t="inlineStr">
        <is>
          <t>51–100</t>
        </is>
      </c>
      <c r="B33" s="10" t="inlineStr">
        <is>
          <t>8</t>
        </is>
      </c>
      <c r="C33" s="10" t="inlineStr">
        <is>
          <t>12</t>
        </is>
      </c>
      <c r="D33" s="10" t="inlineStr">
        <is>
          <t>Diminishing returns beyond this</t>
        </is>
      </c>
    </row>
    <row r="34">
      <c r="A34" s="10" t="inlineStr">
        <is>
          <t>100+</t>
        </is>
      </c>
      <c r="B34" s="10" t="inlineStr">
        <is>
          <t>10</t>
        </is>
      </c>
      <c r="C34" s="10" t="inlineStr">
        <is>
          <t>15</t>
        </is>
      </c>
      <c r="D34" s="10" t="inlineStr">
        <is>
          <t>Cap with stratification</t>
        </is>
      </c>
    </row>
    <row r="36">
      <c r="A36" s="8" t="inlineStr">
        <is>
          <t>Table 2 — Time-Based Evidence Coverage</t>
        </is>
      </c>
    </row>
    <row r="37">
      <c r="A37" s="9" t="inlineStr">
        <is>
          <t>Evidence Type</t>
        </is>
      </c>
      <c r="B37" s="9" t="inlineStr">
        <is>
          <t>Coverage Period</t>
        </is>
      </c>
      <c r="C37" s="9" t="inlineStr">
        <is>
          <t>Rationale</t>
        </is>
      </c>
      <c r="D37" s="9" t="n"/>
    </row>
    <row r="38" ht="28" customHeight="1">
      <c r="A38" s="11" t="inlineStr">
        <is>
          <t>Board / committee reports</t>
        </is>
      </c>
      <c r="B38" s="11" t="inlineStr">
        <is>
          <t>Last 4 quarters</t>
        </is>
      </c>
      <c r="C38" s="11" t="inlineStr">
        <is>
          <t>Full annual governance cycle</t>
        </is>
      </c>
    </row>
    <row r="39" ht="28" customHeight="1">
      <c r="A39" s="11" t="inlineStr">
        <is>
          <t>Operational records (incidents, changes, patches)</t>
        </is>
      </c>
      <c r="B39" s="11" t="inlineStr">
        <is>
          <t>Last 3–6 months</t>
        </is>
      </c>
      <c r="C39" s="11" t="inlineStr">
        <is>
          <t>Recent operating effectiveness</t>
        </is>
      </c>
    </row>
    <row r="40" ht="28" customHeight="1">
      <c r="A40" s="11" t="inlineStr">
        <is>
          <t>Annual processes (risk assessment, DR test, pen test)</t>
        </is>
      </c>
      <c r="B40" s="11" t="inlineStr">
        <is>
          <t>Last 12 months</t>
        </is>
      </c>
      <c r="C40" s="11" t="inlineStr">
        <is>
          <t>Full cycle</t>
        </is>
      </c>
    </row>
    <row r="41" ht="28" customHeight="1">
      <c r="A41" s="11" t="inlineStr">
        <is>
          <t>Continuous monitoring (SOC, logs, alerts)</t>
        </is>
      </c>
      <c r="B41" s="11" t="inlineStr">
        <is>
          <t>Last 30 days</t>
        </is>
      </c>
      <c r="C41" s="11" t="inlineStr">
        <is>
          <t>Current state verification</t>
        </is>
      </c>
    </row>
    <row r="42" ht="28" customHeight="1">
      <c r="A42" s="11" t="inlineStr">
        <is>
          <t>Policies and frameworks</t>
        </is>
      </c>
      <c r="B42" s="11" t="inlineStr">
        <is>
          <t>Current version + prior</t>
        </is>
      </c>
      <c r="C42" s="11" t="inlineStr">
        <is>
          <t>Change tracking</t>
        </is>
      </c>
    </row>
    <row r="44">
      <c r="A44" s="8" t="inlineStr">
        <is>
          <t>Table 3 — Control Risk Tier Classification</t>
        </is>
      </c>
    </row>
    <row r="45">
      <c r="A45" s="9" t="inlineStr">
        <is>
          <t>Risk Tier</t>
        </is>
      </c>
      <c r="B45" s="9" t="inlineStr">
        <is>
          <t>Sampling Level</t>
        </is>
      </c>
      <c r="C45" s="9" t="inlineStr">
        <is>
          <t>Description</t>
        </is>
      </c>
      <c r="D45" s="9" t="inlineStr">
        <is>
          <t>Controls</t>
        </is>
      </c>
    </row>
    <row r="46" ht="48" customHeight="1">
      <c r="A46" s="12" t="inlineStr">
        <is>
          <t>Critical</t>
        </is>
      </c>
      <c r="B46" s="11" t="inlineStr">
        <is>
          <t>High Risk column</t>
        </is>
      </c>
      <c r="C46" s="11" t="inlineStr">
        <is>
          <t>Foundation controls whose failure directly impacts market operations, regulatory standing, or client protection</t>
        </is>
      </c>
      <c r="D46" s="11" t="inlineStr">
        <is>
          <t>GRA-1, CYB-2, RIM-1, RIM-2, RIM-5, RIM-6, DET-3</t>
        </is>
      </c>
    </row>
    <row r="47" ht="48" customHeight="1">
      <c r="A47" s="13" t="inlineStr">
        <is>
          <t>Standard</t>
        </is>
      </c>
      <c r="B47" s="11" t="inlineStr">
        <is>
          <t>Standard Risk column</t>
        </is>
      </c>
      <c r="C47" s="11" t="inlineStr">
        <is>
          <t>Controls that support effective technology risk management but whose absence has indirect or contained impact</t>
        </is>
      </c>
      <c r="D47" s="11" t="inlineStr">
        <is>
          <t>GRA-2–10, CYB-1/3/4, RIM-3/4/7/8, TPC-1–7, DET-1/2</t>
        </is>
      </c>
    </row>
    <row r="48" ht="48" customHeight="1">
      <c r="A48" s="14" t="inlineStr">
        <is>
          <t>Conditional</t>
        </is>
      </c>
      <c r="B48" s="11" t="inlineStr">
        <is>
          <t>Standard Risk (if applicable)</t>
        </is>
      </c>
      <c r="C48" s="11" t="inlineStr">
        <is>
          <t>Controls applicable only if the entity engages in specific activities. Mark N/A with justification if not applicable.</t>
        </is>
      </c>
      <c r="D48" s="11" t="inlineStr">
        <is>
          <t>DET-4, DET-5, DET-6</t>
        </is>
      </c>
    </row>
    <row r="50" ht="22" customHeight="1">
      <c r="A50" s="3" t="inlineStr">
        <is>
          <t>CONCLUSION SCALE</t>
        </is>
      </c>
    </row>
    <row r="51" ht="30" customHeight="1">
      <c r="A51" s="15" t="inlineStr">
        <is>
          <t>Compliant</t>
        </is>
      </c>
      <c r="B51" s="6" t="inlineStr">
        <is>
          <t>Control/requirement fully implemented and operating effectively. Evidence supports compliance with SC-GL/6-2023.</t>
        </is>
      </c>
    </row>
    <row r="52" ht="30" customHeight="1">
      <c r="A52" s="16" t="inlineStr">
        <is>
          <t>Partially Compliant</t>
        </is>
      </c>
      <c r="B52" s="6" t="inlineStr">
        <is>
          <t>Implemented but with gaps in scope, coverage, documentation, or effectiveness. Specific improvements required.</t>
        </is>
      </c>
    </row>
    <row r="53" ht="30" customHeight="1">
      <c r="A53" s="17" t="inlineStr">
        <is>
          <t>Non-Compliant</t>
        </is>
      </c>
      <c r="B53" s="6" t="inlineStr">
        <is>
          <t>Absent, fundamentally deficient, or not operating. SC-GL/6-2023 criteria not met.</t>
        </is>
      </c>
    </row>
    <row r="54" ht="30" customHeight="1">
      <c r="A54" s="18" t="inlineStr">
        <is>
          <t>N/A</t>
        </is>
      </c>
      <c r="B54" s="6" t="inlineStr">
        <is>
          <t>Not applicable to entity's operations. Justification documented.</t>
        </is>
      </c>
    </row>
    <row r="56" ht="22" customHeight="1">
      <c r="A56" s="3" t="inlineStr">
        <is>
          <t>LIMITATIONS</t>
        </is>
      </c>
    </row>
    <row r="57" ht="20" customHeight="1">
      <c r="A57" s="6" t="inlineStr">
        <is>
          <t>1. Limited assurance engagement — conclusions based on procedures performed, not an audit opinion.</t>
        </is>
      </c>
    </row>
    <row r="58" ht="20" customHeight="1">
      <c r="A58" s="6" t="inlineStr">
        <is>
          <t>2. Point-in-time assessment. Does not guarantee continued compliance.</t>
        </is>
      </c>
    </row>
    <row r="59" ht="20" customHeight="1">
      <c r="A59" s="6" t="inlineStr">
        <is>
          <t>3. Reliance on management representations and documentation provided.</t>
        </is>
      </c>
    </row>
    <row r="60" ht="20" customHeight="1">
      <c r="A60" s="6" t="inlineStr">
        <is>
          <t>4. Scope guided by SC-GL/6-2023 Guidelines on Technology Risk Management. SC may update requirements.</t>
        </is>
      </c>
    </row>
    <row r="61" ht="20" customHeight="1">
      <c r="A61" s="6" t="inlineStr">
        <is>
          <t>5. Does not constitute legal or regulatory advice.</t>
        </is>
      </c>
    </row>
    <row r="64" ht="22" customHeight="1">
      <c r="A64" s="3" t="inlineStr">
        <is>
          <t>SIGN-OFF</t>
        </is>
      </c>
    </row>
    <row r="65" ht="24" customHeight="1">
      <c r="A65" s="8" t="inlineStr">
        <is>
          <t>Lead Assessor:</t>
        </is>
      </c>
      <c r="B65" s="19" t="inlineStr">
        <is>
          <t>________________________</t>
        </is>
      </c>
      <c r="E65" s="8" t="inlineStr">
        <is>
          <t>Date:</t>
        </is>
      </c>
      <c r="F65" s="19" t="inlineStr">
        <is>
          <t>______________</t>
        </is>
      </c>
    </row>
    <row r="66" ht="24" customHeight="1">
      <c r="A66" s="8" t="inlineStr">
        <is>
          <t>Quality Reviewer:</t>
        </is>
      </c>
      <c r="B66" s="19" t="inlineStr">
        <is>
          <t>________________________</t>
        </is>
      </c>
      <c r="E66" s="8" t="inlineStr">
        <is>
          <t>Date:</t>
        </is>
      </c>
      <c r="F66" s="19" t="inlineStr">
        <is>
          <t>______________</t>
        </is>
      </c>
    </row>
    <row r="67" ht="24" customHeight="1">
      <c r="A67" s="8" t="inlineStr">
        <is>
          <t>Entity Representative:</t>
        </is>
      </c>
      <c r="B67" s="19" t="inlineStr">
        <is>
          <t>________________________</t>
        </is>
      </c>
      <c r="E67" s="8" t="inlineStr">
        <is>
          <t>Date:</t>
        </is>
      </c>
      <c r="F67" s="19" t="inlineStr">
        <is>
          <t>______________</t>
        </is>
      </c>
    </row>
  </sheetData>
  <mergeCells count="37">
    <mergeCell ref="A14:G14"/>
    <mergeCell ref="A17:G17"/>
    <mergeCell ref="B23:G23"/>
    <mergeCell ref="A4:G4"/>
    <mergeCell ref="B8:G8"/>
    <mergeCell ref="B53:G53"/>
    <mergeCell ref="A19:G19"/>
    <mergeCell ref="A28:D28"/>
    <mergeCell ref="A44:D44"/>
    <mergeCell ref="A13:G13"/>
    <mergeCell ref="B10:G10"/>
    <mergeCell ref="A58:G58"/>
    <mergeCell ref="B9:G9"/>
    <mergeCell ref="A57:G57"/>
    <mergeCell ref="A15:G15"/>
    <mergeCell ref="A59:G59"/>
    <mergeCell ref="A64:G64"/>
    <mergeCell ref="A60:G60"/>
    <mergeCell ref="A36:D36"/>
    <mergeCell ref="B6:G6"/>
    <mergeCell ref="B51:G51"/>
    <mergeCell ref="B20:G20"/>
    <mergeCell ref="A61:G61"/>
    <mergeCell ref="A1:G1"/>
    <mergeCell ref="B5:G5"/>
    <mergeCell ref="A16:G16"/>
    <mergeCell ref="A25:G25"/>
    <mergeCell ref="B7:G7"/>
    <mergeCell ref="B54:G54"/>
    <mergeCell ref="A56:G56"/>
    <mergeCell ref="B22:G22"/>
    <mergeCell ref="A50:G50"/>
    <mergeCell ref="A26:G26"/>
    <mergeCell ref="A2:G2"/>
    <mergeCell ref="B52:G52"/>
    <mergeCell ref="B21:G21"/>
    <mergeCell ref="B11:G11"/>
  </mergeCells>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M77"/>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4" customWidth="1" min="3" max="3"/>
    <col width="48" customWidth="1" min="4" max="4"/>
    <col width="36" customWidth="1" min="5" max="5"/>
    <col width="14" customWidth="1" min="6" max="6"/>
    <col width="30" customWidth="1" min="7" max="7"/>
    <col width="24" customWidth="1" min="8" max="8"/>
    <col width="12" customWidth="1" min="9" max="9"/>
    <col width="30" customWidth="1" min="10" max="10"/>
    <col width="14" customWidth="1" min="11" max="11"/>
    <col width="30" customWidth="1" min="12" max="12"/>
    <col hidden="1" width="13" customWidth="1" min="13" max="13"/>
  </cols>
  <sheetData>
    <row r="1" ht="28" customHeight="1">
      <c r="A1" s="20" t="inlineStr">
        <is>
          <t>Ref</t>
        </is>
      </c>
      <c r="B1" s="20" t="inlineStr">
        <is>
          <t>Control</t>
        </is>
      </c>
      <c r="C1" s="20" t="inlineStr">
        <is>
          <t>Sub-Procedure</t>
        </is>
      </c>
      <c r="D1" s="20" t="inlineStr">
        <is>
          <t>Assessment Procedures</t>
        </is>
      </c>
      <c r="E1" s="20" t="inlineStr">
        <is>
          <t>Expected Evidence</t>
        </is>
      </c>
      <c r="F1" s="20" t="inlineStr">
        <is>
          <t>Method</t>
        </is>
      </c>
      <c r="G1" s="20" t="inlineStr">
        <is>
          <t>Procedures Performed</t>
        </is>
      </c>
      <c r="H1" s="20" t="inlineStr">
        <is>
          <t>Evidence Obtained</t>
        </is>
      </c>
      <c r="I1" s="20" t="inlineStr">
        <is>
          <t>Evidence Ref</t>
        </is>
      </c>
      <c r="J1" s="20" t="inlineStr">
        <is>
          <t>Observation / Findings</t>
        </is>
      </c>
      <c r="K1" s="20" t="inlineStr">
        <is>
          <t>Conclusion</t>
        </is>
      </c>
      <c r="L1" s="20" t="inlineStr">
        <is>
          <t>Recommendations</t>
        </is>
      </c>
      <c r="M1" s="21" t="inlineStr">
        <is>
          <t>Score</t>
        </is>
      </c>
    </row>
    <row r="2" ht="24" customHeight="1">
      <c r="A2" s="22" t="inlineStr">
        <is>
          <t>GRA-1 — Technology Risk Governance Framework [CRITICAL]</t>
        </is>
      </c>
    </row>
    <row r="3" ht="72" customHeight="1">
      <c r="A3" s="23" t="inlineStr">
        <is>
          <t>PURPOSE: SC-GL/6-2023 requires capital market intermediaries to establish a board-approved technology risk governance framework as the foundation for all technology risk management activities. This control ensures that governance structures, accountability, and oversight mechanisms are in place to protect market integrity, client assets, and operational resilience.
EXPECTATION: The assessor should find a formally documented, board-approved governance framework with clearly defined roles and responsibilities, a functioning technology risk committee with cross-functional representation, and evidence of regular board-level engagement with technology risk matters. The framework should be current, reviewed within 12 months, and explicitly aligned with SC-GL/6-2023 requirements.
KEY RISK: Without an effective governance framework, technology risk management operates without strategic direction or board accountability, increasing the likelihood of undetected control failures affecting trading operations, settlement integrity, and regulatory standing with the Securities Commission.</t>
        </is>
      </c>
    </row>
    <row r="4" ht="120" customHeight="1">
      <c r="A4" s="24" t="inlineStr">
        <is>
          <t>GRA-1</t>
        </is>
      </c>
      <c r="B4" s="11" t="inlineStr">
        <is>
          <t>Technology Risk Governance Framework</t>
        </is>
      </c>
      <c r="C4" s="11" t="inlineStr">
        <is>
          <t>Governance structure &amp; reporting lines</t>
        </is>
      </c>
      <c r="D4" s="11" t="inlineStr">
        <is>
          <t>1. Obtain the board-approved technology risk governance framework document.
2. Verify it defines governance structure with clear roles, responsibilities, and reporting lines from board level through operational management.
3. Confirm a technology risk committee (or equivalent) exists with cross-functional representation.
4. Review committee meeting minutes (last 4 quarters) for attendance, quorum, and decision-making evidence.</t>
        </is>
      </c>
      <c r="E4" s="11" t="inlineStr">
        <is>
          <t>Board-approved governance framework; Technology risk committee charter; Committee meeting minutes (last 4 quarters); Organisational chart showing reporting lines; Committee attendance records</t>
        </is>
      </c>
      <c r="F4" s="25" t="inlineStr">
        <is>
          <t>Inspection / Inquiry</t>
        </is>
      </c>
      <c r="G4" s="26" t="inlineStr"/>
      <c r="H4" s="26" t="inlineStr"/>
      <c r="I4" s="26" t="inlineStr"/>
      <c r="J4" s="26" t="inlineStr"/>
      <c r="K4" s="26" t="inlineStr"/>
      <c r="L4" s="26" t="inlineStr"/>
      <c r="M4">
        <f>IF(K4="Compliant",3,IF(K4="Partially Compliant",2,IF(K4="Non-Compliant",1,"")))</f>
        <v/>
      </c>
    </row>
    <row r="5" ht="120" customHeight="1">
      <c r="A5" s="27" t="inlineStr">
        <is>
          <t>GRA-1</t>
        </is>
      </c>
      <c r="B5" s="28" t="inlineStr">
        <is>
          <t>Technology Risk Governance Framework</t>
        </is>
      </c>
      <c r="C5" s="28" t="inlineStr">
        <is>
          <t>Board approval &amp; annual review cycle</t>
        </is>
      </c>
      <c r="D5" s="28" t="inlineStr">
        <is>
          <t>1. Inspect the governance framework document for board approval evidence (board resolution, signed approval page, or minutes recording approval).
2. Verify the framework version history and confirm the last review date is within 12 months.
3. Determine whether out-of-cycle reviews are triggered by material changes such as new SC guidance, significant incidents, or organisational restructuring.
4. Review board agenda and papers for the most recent annual review to verify the board received adequate information to assess the framework's adequacy.</t>
        </is>
      </c>
      <c r="E5" s="28" t="inlineStr">
        <is>
          <t>Board resolution or approval record; Framework version history log; Board meeting agenda and papers for last annual framework review; Out-of-cycle review trigger criteria (if documented)</t>
        </is>
      </c>
      <c r="F5" s="29" t="inlineStr">
        <is>
          <t>Inspection</t>
        </is>
      </c>
      <c r="G5" s="26" t="inlineStr"/>
      <c r="H5" s="26" t="inlineStr"/>
      <c r="I5" s="26" t="inlineStr"/>
      <c r="J5" s="26" t="inlineStr"/>
      <c r="K5" s="26" t="inlineStr"/>
      <c r="L5" s="26" t="inlineStr"/>
      <c r="M5">
        <f>IF(K5="Compliant",3,IF(K5="Partially Compliant",2,IF(K5="Non-Compliant",1,"")))</f>
        <v/>
      </c>
    </row>
    <row r="6" ht="120" customHeight="1">
      <c r="A6" s="24" t="inlineStr">
        <is>
          <t>GRA-1</t>
        </is>
      </c>
      <c r="B6" s="11" t="inlineStr">
        <is>
          <t>Technology Risk Governance Framework</t>
        </is>
      </c>
      <c r="C6" s="11" t="inlineStr">
        <is>
          <t>Three lines of defence model</t>
        </is>
      </c>
      <c r="D6" s="11" t="inlineStr">
        <is>
          <t>1. Interview the CISO or committee chair to understand how the three lines of defence model is implemented for technology risk management.
2. Verify that first line (technology operations and business units), second line (risk management and compliance), and third line (internal audit) roles are clearly delineated and documented.
3. Confirm independence between the lines — specifically that second-line risk oversight is not conflated with first-line technology delivery.
4. Review a sample of 3 risk decisions (per sampling methodology) to trace how the three lines interacted (e.g., risk acceptance, control exception).</t>
        </is>
      </c>
      <c r="E6" s="11" t="inlineStr">
        <is>
          <t>Three lines of defence model documentation; RACI matrix for technology risk responsibilities; Sample risk decision records (3) showing line interactions; Organisational chart demonstrating independence between lines</t>
        </is>
      </c>
      <c r="F6" s="25" t="inlineStr">
        <is>
          <t>Inspection / Inquiry</t>
        </is>
      </c>
      <c r="G6" s="26" t="inlineStr"/>
      <c r="H6" s="26" t="inlineStr"/>
      <c r="I6" s="26" t="inlineStr"/>
      <c r="J6" s="26" t="inlineStr"/>
      <c r="K6" s="26" t="inlineStr"/>
      <c r="L6" s="26" t="inlineStr"/>
      <c r="M6">
        <f>IF(K6="Compliant",3,IF(K6="Partially Compliant",2,IF(K6="Non-Compliant",1,"")))</f>
        <v/>
      </c>
    </row>
    <row r="7" ht="120" customHeight="1">
      <c r="A7" s="27" t="inlineStr">
        <is>
          <t>GRA-1</t>
        </is>
      </c>
      <c r="B7" s="28" t="inlineStr">
        <is>
          <t>Technology Risk Governance Framework</t>
        </is>
      </c>
      <c r="C7" s="28" t="inlineStr">
        <is>
          <t>Technology risk appetite statement</t>
        </is>
      </c>
      <c r="D7" s="28" t="inlineStr">
        <is>
          <t>1. Obtain the documented technology risk appetite statement and verify it is aligned with the entity's overall business strategy and risk appetite.
2. Confirm the risk appetite statement addresses capital market-specific risk dimensions (e.g., trading system availability, settlement failure tolerance, market data integrity).
3. Verify the risk appetite has been approved by the board and is reviewed at least annually.
4. Assess whether the risk appetite is operationalised through defined risk tolerance levels and Key Risk Indicators with escalation thresholds.</t>
        </is>
      </c>
      <c r="E7" s="28" t="inlineStr">
        <is>
          <t>Board-approved technology risk appetite statement; Risk tolerance levels and KRI threshold definitions; Board approval evidence for risk appetite; Mapping of risk appetite to capital market operational risk dimensions</t>
        </is>
      </c>
      <c r="F7" s="29" t="inlineStr">
        <is>
          <t>Inspection</t>
        </is>
      </c>
      <c r="G7" s="26" t="inlineStr"/>
      <c r="H7" s="26" t="inlineStr"/>
      <c r="I7" s="26" t="inlineStr"/>
      <c r="J7" s="26" t="inlineStr"/>
      <c r="K7" s="26" t="inlineStr"/>
      <c r="L7" s="26" t="inlineStr"/>
      <c r="M7">
        <f>IF(K7="Compliant",3,IF(K7="Partially Compliant",2,IF(K7="Non-Compliant",1,"")))</f>
        <v/>
      </c>
    </row>
    <row r="8" ht="120" customHeight="1">
      <c r="A8" s="24" t="inlineStr">
        <is>
          <t>GRA-1</t>
        </is>
      </c>
      <c r="B8" s="11" t="inlineStr">
        <is>
          <t>Technology Risk Governance Framework</t>
        </is>
      </c>
      <c r="C8" s="11" t="inlineStr">
        <is>
          <t>Committee effectiveness &amp; decision quality</t>
        </is>
      </c>
      <c r="D8" s="11" t="inlineStr">
        <is>
          <t>1. Review technology risk committee meeting minutes from the last 4 quarters for evidence of substantive discussion, challenge, and decision-making.
2. Verify that the committee receives and acts on key inputs: risk reports, incident summaries, audit findings, and emerging risk briefings.
3. Confirm that committee action items are tracked to closure by reviewing the action register.
4. Assess committee membership for appropriate seniority and cross-functional representation including trading, operations, compliance, and technology.</t>
        </is>
      </c>
      <c r="E8" s="11" t="inlineStr">
        <is>
          <t>Committee meeting minutes (last 4 quarters); Committee action item register with closure tracking; Committee membership list with roles and seniority; Agenda and supporting papers for last 2 meetings</t>
        </is>
      </c>
      <c r="F8" s="25" t="inlineStr">
        <is>
          <t>Inspection</t>
        </is>
      </c>
      <c r="G8" s="26" t="inlineStr"/>
      <c r="H8" s="26" t="inlineStr"/>
      <c r="I8" s="26" t="inlineStr"/>
      <c r="J8" s="26" t="inlineStr"/>
      <c r="K8" s="26" t="inlineStr"/>
      <c r="L8" s="26" t="inlineStr"/>
      <c r="M8">
        <f>IF(K8="Compliant",3,IF(K8="Partially Compliant",2,IF(K8="Non-Compliant",1,"")))</f>
        <v/>
      </c>
    </row>
    <row r="9" ht="120" customHeight="1">
      <c r="A9" s="27" t="inlineStr">
        <is>
          <t>GRA-1</t>
        </is>
      </c>
      <c r="B9" s="28" t="inlineStr">
        <is>
          <t>Technology Risk Governance Framework</t>
        </is>
      </c>
      <c r="C9" s="28" t="inlineStr">
        <is>
          <t>Alignment with SC-GL/6-2023 requirements</t>
        </is>
      </c>
      <c r="D9" s="28" t="inlineStr">
        <is>
          <t>1. Map the governance framework's coverage against SC-GL/6-2023 guideline requirements for governance and oversight.
2. Identify any gaps where SC expectations are not explicitly addressed in the governance framework.
3. Verify that the framework references SC-GL/6-2023 as the primary regulatory driver and is updated when SC issues new guidance or advisories.
4. Confirm that governance arrangements address SC-specific expectations for capital market intermediaries, including oversight of trading systems, client data protection, and market integrity.</t>
        </is>
      </c>
      <c r="E9" s="28" t="inlineStr">
        <is>
          <t>SC-GL/6-2023 coverage mapping or gap analysis; Framework sections referencing SC guidelines; Records of framework updates following SC guidance changes; SC advisory review log</t>
        </is>
      </c>
      <c r="F9" s="29" t="inlineStr">
        <is>
          <t>Inspection</t>
        </is>
      </c>
      <c r="G9" s="26" t="inlineStr"/>
      <c r="H9" s="26" t="inlineStr"/>
      <c r="I9" s="26" t="inlineStr"/>
      <c r="J9" s="26" t="inlineStr"/>
      <c r="K9" s="26" t="inlineStr"/>
      <c r="L9" s="26" t="inlineStr"/>
      <c r="M9">
        <f>IF(K9="Compliant",3,IF(K9="Partially Compliant",2,IF(K9="Non-Compliant",1,"")))</f>
        <v/>
      </c>
    </row>
    <row r="10" ht="24" customHeight="1">
      <c r="A10" s="30" t="inlineStr">
        <is>
          <t>GRA-2 — CISO Designation &amp; Authority</t>
        </is>
      </c>
    </row>
    <row r="11" ht="72" customHeight="1">
      <c r="A11" s="23" t="inlineStr">
        <is>
          <t>PURPOSE: SC-GL/6-2023 requires capital market intermediaries to designate a CISO with adequate authority, independence, and resources to oversee cybersecurity and technology risk. This ensures a single accountable executive drives the security programme and has unimpeded access to the board.
EXPECTATION: The assessor should find a formally appointed CISO with relevant qualifications and certifications, reporting independently from technology delivery, with demonstrated board access and a standing reporting slot. The CISO should have an adequately resourced team and documented authority to influence technology decisions.
KEY RISK: Without a designated, independent CISO, security priorities are subordinated to delivery timelines, creating blind spots in risk oversight that can lead to undetected vulnerabilities in trading systems and delayed incident response.</t>
        </is>
      </c>
    </row>
    <row r="12" ht="120" customHeight="1">
      <c r="A12" s="24" t="inlineStr">
        <is>
          <t>GRA-2</t>
        </is>
      </c>
      <c r="B12" s="11" t="inlineStr">
        <is>
          <t>CISO Designation &amp; Authority</t>
        </is>
      </c>
      <c r="C12" s="11" t="inlineStr">
        <is>
          <t>CISO appointment &amp; qualifications</t>
        </is>
      </c>
      <c r="D12" s="11" t="inlineStr">
        <is>
          <t>1. Obtain the CISO's appointment letter, board resolution, or designation record confirming the formal appointment.
2. Review the CISO's qualifications, professional certifications (e.g., CISSP, CISM), and experience relevant to technology risk and capital market operations.
3. Verify the CISO is appointed on a full-time, dedicated basis and that the role is not combined with technology delivery responsibilities.
4. Confirm the appointment is documented in a job description that defines the scope of authority over all technology and cybersecurity risk domains.</t>
        </is>
      </c>
      <c r="E12" s="11" t="inlineStr">
        <is>
          <t>CISO appointment letter or board resolution; CISO curriculum vitae with qualifications and certifications; Job description defining scope and authority; Organisation announcement or HR confirmation of dedicated full-time role</t>
        </is>
      </c>
      <c r="F12" s="25" t="inlineStr">
        <is>
          <t>Inspection</t>
        </is>
      </c>
      <c r="G12" s="26" t="inlineStr"/>
      <c r="H12" s="26" t="inlineStr"/>
      <c r="I12" s="26" t="inlineStr"/>
      <c r="J12" s="26" t="inlineStr"/>
      <c r="K12" s="26" t="inlineStr"/>
      <c r="L12" s="26" t="inlineStr"/>
      <c r="M12">
        <f>IF(K12="Compliant",3,IF(K12="Partially Compliant",2,IF(K12="Non-Compliant",1,"")))</f>
        <v/>
      </c>
    </row>
    <row r="13" ht="120" customHeight="1">
      <c r="A13" s="27" t="inlineStr">
        <is>
          <t>GRA-2</t>
        </is>
      </c>
      <c r="B13" s="28" t="inlineStr">
        <is>
          <t>CISO Designation &amp; Authority</t>
        </is>
      </c>
      <c r="C13" s="28" t="inlineStr">
        <is>
          <t>Reporting independence</t>
        </is>
      </c>
      <c r="D13" s="28" t="inlineStr">
        <is>
          <t>1. Review the organisational chart to confirm the CISO's reporting line is independent from the CTO or Head of IT Operations.
2. Verify the CISO has direct access to senior management and/or board committee without requiring CTO or IT head approval.
3. Interview the CISO to assess the practical reality of independence — specifically whether security recommendations are overridden by technology delivery priorities without appropriate escalation.
4. Confirm escalation procedures exist that allow the CISO to raise unresolved concerns directly to the board if necessary.</t>
        </is>
      </c>
      <c r="E13" s="28" t="inlineStr">
        <is>
          <t>Organisational chart showing CISO reporting line; Escalation procedure documentation; CISO interview notes confirming practical independence; Evidence of CISO-board direct communication channel</t>
        </is>
      </c>
      <c r="F13" s="29" t="inlineStr">
        <is>
          <t>Inspection / Inquiry</t>
        </is>
      </c>
      <c r="G13" s="26" t="inlineStr"/>
      <c r="H13" s="26" t="inlineStr"/>
      <c r="I13" s="26" t="inlineStr"/>
      <c r="J13" s="26" t="inlineStr"/>
      <c r="K13" s="26" t="inlineStr"/>
      <c r="L13" s="26" t="inlineStr"/>
      <c r="M13">
        <f>IF(K13="Compliant",3,IF(K13="Partially Compliant",2,IF(K13="Non-Compliant",1,"")))</f>
        <v/>
      </c>
    </row>
    <row r="14" ht="120" customHeight="1">
      <c r="A14" s="24" t="inlineStr">
        <is>
          <t>GRA-2</t>
        </is>
      </c>
      <c r="B14" s="11" t="inlineStr">
        <is>
          <t>CISO Designation &amp; Authority</t>
        </is>
      </c>
      <c r="C14" s="11" t="inlineStr">
        <is>
          <t>Board reporting &amp; engagement</t>
        </is>
      </c>
      <c r="D14" s="11" t="inlineStr">
        <is>
          <t>1. Review board or board committee minutes from the last 4 quarters to verify the CISO presented or reported to the board on technology and cybersecurity risk.
2. Confirm the board meeting records document substantive discussion, questions raised, and actions taken in response to CISO reporting.
3. Verify the CISO has a standing agenda slot at the board risk committee or equivalent.
4. Assess the quality and comprehensiveness of CISO board reports — they should cover risk posture, incidents, compliance, emerging threats, and strategic security initiatives.</t>
        </is>
      </c>
      <c r="E14" s="11" t="inlineStr">
        <is>
          <t>Board/committee minutes documenting CISO presentations (last 4 quarters); CISO board reports or presentation materials; Board risk committee agenda showing CISO standing item; Records of board actions or directives arising from CISO reporting</t>
        </is>
      </c>
      <c r="F14" s="25" t="inlineStr">
        <is>
          <t>Inspection</t>
        </is>
      </c>
      <c r="G14" s="26" t="inlineStr"/>
      <c r="H14" s="26" t="inlineStr"/>
      <c r="I14" s="26" t="inlineStr"/>
      <c r="J14" s="26" t="inlineStr"/>
      <c r="K14" s="26" t="inlineStr"/>
      <c r="L14" s="26" t="inlineStr"/>
      <c r="M14">
        <f>IF(K14="Compliant",3,IF(K14="Partially Compliant",2,IF(K14="Non-Compliant",1,"")))</f>
        <v/>
      </c>
    </row>
    <row r="15" ht="120" customHeight="1">
      <c r="A15" s="27" t="inlineStr">
        <is>
          <t>GRA-2</t>
        </is>
      </c>
      <c r="B15" s="28" t="inlineStr">
        <is>
          <t>CISO Designation &amp; Authority</t>
        </is>
      </c>
      <c r="C15" s="28" t="inlineStr">
        <is>
          <t>Resources &amp; budget adequacy</t>
        </is>
      </c>
      <c r="D15" s="28" t="inlineStr">
        <is>
          <t>1. Obtain the security team structure and headcount under the CISO's authority.
2. Review the approved security budget for the current financial year and compare against industry benchmarks for capital market intermediaries.
3. Interview the CISO to assess whether resource constraints limit the ability to discharge responsibilities effectively.
4. Verify that the CISO has authority to approve security expenditure within the approved budget without requiring CTO sign-off.</t>
        </is>
      </c>
      <c r="E15" s="28" t="inlineStr">
        <is>
          <t>Security team organisational chart and headcount; Approved security budget for current year; CISO budget authority documentation; CISO interview notes on resource adequacy</t>
        </is>
      </c>
      <c r="F15" s="29" t="inlineStr">
        <is>
          <t>Inspection / Inquiry</t>
        </is>
      </c>
      <c r="G15" s="26" t="inlineStr"/>
      <c r="H15" s="26" t="inlineStr"/>
      <c r="I15" s="26" t="inlineStr"/>
      <c r="J15" s="26" t="inlineStr"/>
      <c r="K15" s="26" t="inlineStr"/>
      <c r="L15" s="26" t="inlineStr"/>
      <c r="M15">
        <f>IF(K15="Compliant",3,IF(K15="Partially Compliant",2,IF(K15="Non-Compliant",1,"")))</f>
        <v/>
      </c>
    </row>
    <row r="16" ht="120" customHeight="1">
      <c r="A16" s="24" t="inlineStr">
        <is>
          <t>GRA-2</t>
        </is>
      </c>
      <c r="B16" s="11" t="inlineStr">
        <is>
          <t>CISO Designation &amp; Authority</t>
        </is>
      </c>
      <c r="C16" s="11" t="inlineStr">
        <is>
          <t>CISO authority in practice</t>
        </is>
      </c>
      <c r="D16" s="11" t="inlineStr">
        <is>
          <t>1. Review 3 instances (per sampling methodology) where the CISO exercised authority to influence technology decisions (e.g., halting a deployment, requiring security controls, rejecting a vendor).
2. Determine whether the CISO has the authority to halt a technology deployment if security risks are deemed unacceptable.
3. Verify that the CISO's role and authority are communicated to all relevant stakeholders including technology, trading, and business unit heads.
4. Assess whether the CISO participates in strategic technology decisions such as new system selection, cloud adoption, and algorithmic trading platform changes.</t>
        </is>
      </c>
      <c r="E16" s="11" t="inlineStr">
        <is>
          <t>Records of CISO-influenced technology decisions (3 instances); CISO authority policy or terms of reference; Evidence of CISO participation in strategic technology decision forums; Communication records notifying stakeholders of CISO authority</t>
        </is>
      </c>
      <c r="F16" s="25" t="inlineStr">
        <is>
          <t>Inspection / Inquiry</t>
        </is>
      </c>
      <c r="G16" s="26" t="inlineStr"/>
      <c r="H16" s="26" t="inlineStr"/>
      <c r="I16" s="26" t="inlineStr"/>
      <c r="J16" s="26" t="inlineStr"/>
      <c r="K16" s="26" t="inlineStr"/>
      <c r="L16" s="26" t="inlineStr"/>
      <c r="M16">
        <f>IF(K16="Compliant",3,IF(K16="Partially Compliant",2,IF(K16="Non-Compliant",1,"")))</f>
        <v/>
      </c>
    </row>
    <row r="17" ht="24" customHeight="1">
      <c r="A17" s="30" t="inlineStr">
        <is>
          <t>GRA-3 — Technology Risk Policy Suite</t>
        </is>
      </c>
    </row>
    <row r="18" ht="72" customHeight="1">
      <c r="A18" s="23" t="inlineStr">
        <is>
          <t>PURPOSE: SC-GL/6-2023 requires capital market intermediaries to maintain a comprehensive suite of technology risk policies covering all guideline domains. This ensures that governance expectations are translated into enforceable standards that guide day-to-day operations across cybersecurity, data management, access control, and change management.
EXPECTATION: The assessor should find a complete, board-approved policy suite that maps to all SC-GL/6-2023 domains, with each policy reviewed within 12 months, communicated to relevant personnel, and containing capital market-specific provisions. Policies should be enforceable with measurable standards rather than aspirational statements.
KEY RISK: An incomplete or outdated policy suite creates ambiguity in expected controls, leaves staff without clear guidance on capital market-specific requirements, and exposes the intermediary to regulatory findings for non-compliance with SC-GL/6-2023 documentation expectations.</t>
        </is>
      </c>
    </row>
    <row r="19" ht="120" customHeight="1">
      <c r="A19" s="27" t="inlineStr">
        <is>
          <t>GRA-3</t>
        </is>
      </c>
      <c r="B19" s="28" t="inlineStr">
        <is>
          <t>Technology Risk Policy Suite</t>
        </is>
      </c>
      <c r="C19" s="28" t="inlineStr">
        <is>
          <t>Policy inventory &amp; SC-GL/6-2023 coverage</t>
        </is>
      </c>
      <c r="D19" s="28" t="inlineStr">
        <is>
          <t>1. Obtain the complete technology risk policy inventory listing all current policies.
2. Map the policy inventory against SC-GL/6-2023 domain requirements to verify coverage of: cybersecurity, technology risk assessment, data management, cloud services, third-party risk, incident management, business continuity, and technology audit.
3. Identify any domains where no corresponding policy exists and assess the entity's plan to address gaps.
4. Verify that each policy explicitly references the SC-GL/6-2023 requirements it addresses.</t>
        </is>
      </c>
      <c r="E19" s="28" t="inlineStr">
        <is>
          <t>Technology risk policy inventory or register; SC-GL/6-2023 domain coverage mapping; Gap analysis (if gaps identified); Sample policies showing SC-GL/6-2023 references</t>
        </is>
      </c>
      <c r="F19" s="29" t="inlineStr">
        <is>
          <t>Inspection</t>
        </is>
      </c>
      <c r="G19" s="26" t="inlineStr"/>
      <c r="H19" s="26" t="inlineStr"/>
      <c r="I19" s="26" t="inlineStr"/>
      <c r="J19" s="26" t="inlineStr"/>
      <c r="K19" s="26" t="inlineStr"/>
      <c r="L19" s="26" t="inlineStr"/>
      <c r="M19">
        <f>IF(K19="Compliant",3,IF(K19="Partially Compliant",2,IF(K19="Non-Compliant",1,"")))</f>
        <v/>
      </c>
    </row>
    <row r="20" ht="120" customHeight="1">
      <c r="A20" s="24" t="inlineStr">
        <is>
          <t>GRA-3</t>
        </is>
      </c>
      <c r="B20" s="11" t="inlineStr">
        <is>
          <t>Technology Risk Policy Suite</t>
        </is>
      </c>
      <c r="C20" s="11" t="inlineStr">
        <is>
          <t>Board approval &amp; review cycle</t>
        </is>
      </c>
      <c r="D20" s="11" t="inlineStr">
        <is>
          <t>1. For each policy in the suite, verify board approval evidence (signature, board resolution, or minutes recording approval).
2. Confirm the last review date for each policy is within 12 months.
3. Review the policy review schedule and verify it is maintained and adhered to.
4. Determine whether policies have been updated to reflect recent SC advisories, regulatory changes, or significant incidents in the last 12 months.</t>
        </is>
      </c>
      <c r="E20" s="11" t="inlineStr">
        <is>
          <t>Board approval records for each policy (signatures, resolutions, or minutes); Policy review schedule; Policy version history showing last review dates; Records of policy updates following regulatory changes</t>
        </is>
      </c>
      <c r="F20" s="25" t="inlineStr">
        <is>
          <t>Inspection</t>
        </is>
      </c>
      <c r="G20" s="26" t="inlineStr"/>
      <c r="H20" s="26" t="inlineStr"/>
      <c r="I20" s="26" t="inlineStr"/>
      <c r="J20" s="26" t="inlineStr"/>
      <c r="K20" s="26" t="inlineStr"/>
      <c r="L20" s="26" t="inlineStr"/>
      <c r="M20">
        <f>IF(K20="Compliant",3,IF(K20="Partially Compliant",2,IF(K20="Non-Compliant",1,"")))</f>
        <v/>
      </c>
    </row>
    <row r="21" ht="120" customHeight="1">
      <c r="A21" s="27" t="inlineStr">
        <is>
          <t>GRA-3</t>
        </is>
      </c>
      <c r="B21" s="28" t="inlineStr">
        <is>
          <t>Technology Risk Policy Suite</t>
        </is>
      </c>
      <c r="C21" s="28" t="inlineStr">
        <is>
          <t>Cybersecurity policy</t>
        </is>
      </c>
      <c r="D21" s="28" t="inlineStr">
        <is>
          <t>1. Obtain the cybersecurity policy and verify it covers: threat management, security monitoring, vulnerability management, network security, endpoint protection, and security awareness.
2. Confirm the policy addresses capital market-specific cybersecurity requirements including protection of trading systems, market data integrity, and client portal security.
3. Verify the policy defines roles and responsibilities for cybersecurity across the three lines of defence.
4. Assess whether the policy establishes measurable security standards (e.g., patching SLAs, monitoring coverage targets, incident response timelines).</t>
        </is>
      </c>
      <c r="E21" s="28" t="inlineStr">
        <is>
          <t>Board-approved cybersecurity policy; Policy sections addressing capital market-specific requirements; Cybersecurity RACI matrix; Defined security standards and SLAs within the policy</t>
        </is>
      </c>
      <c r="F21" s="29" t="inlineStr">
        <is>
          <t>Inspection</t>
        </is>
      </c>
      <c r="G21" s="26" t="inlineStr"/>
      <c r="H21" s="26" t="inlineStr"/>
      <c r="I21" s="26" t="inlineStr"/>
      <c r="J21" s="26" t="inlineStr"/>
      <c r="K21" s="26" t="inlineStr"/>
      <c r="L21" s="26" t="inlineStr"/>
      <c r="M21">
        <f>IF(K21="Compliant",3,IF(K21="Partially Compliant",2,IF(K21="Non-Compliant",1,"")))</f>
        <v/>
      </c>
    </row>
    <row r="22" ht="120" customHeight="1">
      <c r="A22" s="24" t="inlineStr">
        <is>
          <t>GRA-3</t>
        </is>
      </c>
      <c r="B22" s="11" t="inlineStr">
        <is>
          <t>Technology Risk Policy Suite</t>
        </is>
      </c>
      <c r="C22" s="11" t="inlineStr">
        <is>
          <t>Access control policy</t>
        </is>
      </c>
      <c r="D22" s="11" t="inlineStr">
        <is>
          <t>1. Obtain the access control policy and verify it covers: user provisioning and de-provisioning, role-based access, privileged access management, multi-factor authentication, and periodic access reviews.
2. Confirm the policy mandates least-privilege access for all capital market systems including trading platforms, settlement systems, and client data repositories.
3. Verify that the policy addresses access control requirements for remote access, vendor access, and emergency access scenarios.
4. Review whether the policy defines access review frequency (at least quarterly for privileged access, at least annually for standard access).</t>
        </is>
      </c>
      <c r="E22" s="11" t="inlineStr">
        <is>
          <t>Board-approved access control policy; Policy sections on privileged access and MFA requirements; Access review frequency requirements; Remote and vendor access control provisions</t>
        </is>
      </c>
      <c r="F22" s="25" t="inlineStr">
        <is>
          <t>Inspection</t>
        </is>
      </c>
      <c r="G22" s="26" t="inlineStr"/>
      <c r="H22" s="26" t="inlineStr"/>
      <c r="I22" s="26" t="inlineStr"/>
      <c r="J22" s="26" t="inlineStr"/>
      <c r="K22" s="26" t="inlineStr"/>
      <c r="L22" s="26" t="inlineStr"/>
      <c r="M22">
        <f>IF(K22="Compliant",3,IF(K22="Partially Compliant",2,IF(K22="Non-Compliant",1,"")))</f>
        <v/>
      </c>
    </row>
    <row r="23" ht="120" customHeight="1">
      <c r="A23" s="27" t="inlineStr">
        <is>
          <t>GRA-3</t>
        </is>
      </c>
      <c r="B23" s="28" t="inlineStr">
        <is>
          <t>Technology Risk Policy Suite</t>
        </is>
      </c>
      <c r="C23" s="28" t="inlineStr">
        <is>
          <t>Data security &amp; privacy policy</t>
        </is>
      </c>
      <c r="D23" s="28" t="inlineStr">
        <is>
          <t>1. Obtain the data security and privacy policy and verify it covers: data classification, encryption standards, data loss prevention, data retention, and disposal.
2. Confirm the policy addresses PDPA compliance requirements for client personal data held by the capital market intermediary.
3. Verify the policy defines data handling requirements specific to market data, client trading information, and corporate confidential data.
4. Assess whether the policy establishes encryption standards (AES-256 at rest, TLS 1.2+ in transit) and data residency requirements consistent with SC and PDPA expectations.</t>
        </is>
      </c>
      <c r="E23" s="28" t="inlineStr">
        <is>
          <t>Board-approved data security and privacy policy; PDPA compliance provisions within the policy; Data classification scheme referenced by the policy; Encryption and data residency standards defined in the policy</t>
        </is>
      </c>
      <c r="F23" s="29" t="inlineStr">
        <is>
          <t>Inspection</t>
        </is>
      </c>
      <c r="G23" s="26" t="inlineStr"/>
      <c r="H23" s="26" t="inlineStr"/>
      <c r="I23" s="26" t="inlineStr"/>
      <c r="J23" s="26" t="inlineStr"/>
      <c r="K23" s="26" t="inlineStr"/>
      <c r="L23" s="26" t="inlineStr"/>
      <c r="M23">
        <f>IF(K23="Compliant",3,IF(K23="Partially Compliant",2,IF(K23="Non-Compliant",1,"")))</f>
        <v/>
      </c>
    </row>
    <row r="24" ht="120" customHeight="1">
      <c r="A24" s="24" t="inlineStr">
        <is>
          <t>GRA-3</t>
        </is>
      </c>
      <c r="B24" s="11" t="inlineStr">
        <is>
          <t>Technology Risk Policy Suite</t>
        </is>
      </c>
      <c r="C24" s="11" t="inlineStr">
        <is>
          <t>Change management policy</t>
        </is>
      </c>
      <c r="D24" s="11" t="inlineStr">
        <is>
          <t>1. Obtain the change management policy and verify it defines: change classification (critical, significant, standard), risk assessment requirements, testing and approval gates, and rollback procedures.
2. Confirm the policy addresses change freeze periods around critical market events (e.g., settlement cycles, quarter-end, market launches).
3. Verify the policy establishes special controls for changes to trading systems, settlement systems, and market connectivity.
4. Assess whether the policy defines emergency change procedures with retrospective risk assessment and approval requirements.</t>
        </is>
      </c>
      <c r="E24" s="11" t="inlineStr">
        <is>
          <t>Board-approved change management policy; Change classification criteria; Change freeze period definitions; Emergency change procedures; Special controls for trading system changes</t>
        </is>
      </c>
      <c r="F24" s="25" t="inlineStr">
        <is>
          <t>Inspection</t>
        </is>
      </c>
      <c r="G24" s="26" t="inlineStr"/>
      <c r="H24" s="26" t="inlineStr"/>
      <c r="I24" s="26" t="inlineStr"/>
      <c r="J24" s="26" t="inlineStr"/>
      <c r="K24" s="26" t="inlineStr"/>
      <c r="L24" s="26" t="inlineStr"/>
      <c r="M24">
        <f>IF(K24="Compliant",3,IF(K24="Partially Compliant",2,IF(K24="Non-Compliant",1,"")))</f>
        <v/>
      </c>
    </row>
    <row r="25" ht="120" customHeight="1">
      <c r="A25" s="27" t="inlineStr">
        <is>
          <t>GRA-3</t>
        </is>
      </c>
      <c r="B25" s="28" t="inlineStr">
        <is>
          <t>Technology Risk Policy Suite</t>
        </is>
      </c>
      <c r="C25" s="28" t="inlineStr">
        <is>
          <t>Additional policy areas (BCP, cloud, outsourcing, incident management)</t>
        </is>
      </c>
      <c r="D25" s="28" t="inlineStr">
        <is>
          <t>1. Verify that policies exist for: business continuity and disaster recovery, cloud services governance, technology outsourcing, and incident management and response.
2. For each, confirm board approval and review within the last 12 months.
3. Assess whether each policy is aligned with the corresponding SC-GL/6-2023 domain requirements and references the guideline.
4. Review a sample of 3 additional policies (per sampling methodology) in detail for adequacy of content, clarity of responsibilities, and enforceability.</t>
        </is>
      </c>
      <c r="E25" s="28" t="inlineStr">
        <is>
          <t>BCP/DR policy (board-approved); Cloud services policy (board-approved); Technology outsourcing policy (board-approved); Incident management policy (board-approved); Board approval and review date evidence for each</t>
        </is>
      </c>
      <c r="F25" s="29" t="inlineStr">
        <is>
          <t>Inspection</t>
        </is>
      </c>
      <c r="G25" s="26" t="inlineStr"/>
      <c r="H25" s="26" t="inlineStr"/>
      <c r="I25" s="26" t="inlineStr"/>
      <c r="J25" s="26" t="inlineStr"/>
      <c r="K25" s="26" t="inlineStr"/>
      <c r="L25" s="26" t="inlineStr"/>
      <c r="M25">
        <f>IF(K25="Compliant",3,IF(K25="Partially Compliant",2,IF(K25="Non-Compliant",1,"")))</f>
        <v/>
      </c>
    </row>
    <row r="26" ht="120" customHeight="1">
      <c r="A26" s="24" t="inlineStr">
        <is>
          <t>GRA-3</t>
        </is>
      </c>
      <c r="B26" s="11" t="inlineStr">
        <is>
          <t>Technology Risk Policy Suite</t>
        </is>
      </c>
      <c r="C26" s="11" t="inlineStr">
        <is>
          <t>Policy communication &amp; awareness</t>
        </is>
      </c>
      <c r="D26" s="11" t="inlineStr">
        <is>
          <t>1. Inspect evidence of policy communication to all relevant personnel (e.g., intranet publication, email distribution, training records, acknowledgement logs).
2. Review policy acknowledgement records to verify staff have confirmed receipt and understanding.
3. Interview 3 staff from different functions (per sampling methodology) (e.g., trading, operations, IT) to verify awareness and ability to locate key technology risk policies.
4. Verify that policy communication extends to relevant third-party service providers where contractually required.</t>
        </is>
      </c>
      <c r="E26" s="11" t="inlineStr">
        <is>
          <t>Policy distribution records or intranet publication evidence; Staff acknowledgement logs; Training completion records for policy awareness; Third-party policy communication records; Interview notes from 3 staff across functions</t>
        </is>
      </c>
      <c r="F26" s="25" t="inlineStr">
        <is>
          <t>Inspection / Inquiry</t>
        </is>
      </c>
      <c r="G26" s="26" t="inlineStr"/>
      <c r="H26" s="26" t="inlineStr"/>
      <c r="I26" s="26" t="inlineStr"/>
      <c r="J26" s="26" t="inlineStr"/>
      <c r="K26" s="26" t="inlineStr"/>
      <c r="L26" s="26" t="inlineStr"/>
      <c r="M26">
        <f>IF(K26="Compliant",3,IF(K26="Partially Compliant",2,IF(K26="Non-Compliant",1,"")))</f>
        <v/>
      </c>
    </row>
    <row r="27" ht="24" customHeight="1">
      <c r="A27" s="30" t="inlineStr">
        <is>
          <t>GRA-4 — Technology Risk Reporting</t>
        </is>
      </c>
    </row>
    <row r="28" ht="72" customHeight="1">
      <c r="A28" s="23" t="inlineStr">
        <is>
          <t>PURPOSE: SC-GL/6-2023 requires capital market intermediaries to provide regular, comprehensive technology risk reporting to the board and senior management. This ensures informed decision-making on technology risks that could impact market operations, client protection, and regulatory compliance.
EXPECTATION: The assessor should find a consistent quarterly reporting cadence with reports covering all SC-GL/6-2023 domains, defined KRIs with escalation thresholds, emerging risk commentary, and audit remediation tracking. Board minutes should evidence substantive engagement with the reports, not just receipt.
KEY RISK: Inadequate risk reporting leaves the board unable to exercise effective oversight, meaning material technology risks affecting trading systems, client data, or market integrity may persist without senior management awareness or intervention.</t>
        </is>
      </c>
    </row>
    <row r="29" ht="120" customHeight="1">
      <c r="A29" s="27" t="inlineStr">
        <is>
          <t>GRA-4</t>
        </is>
      </c>
      <c r="B29" s="28" t="inlineStr">
        <is>
          <t>Technology Risk Reporting</t>
        </is>
      </c>
      <c r="C29" s="28" t="inlineStr">
        <is>
          <t>Reporting cadence &amp; completeness</t>
        </is>
      </c>
      <c r="D29" s="28" t="inlineStr">
        <is>
          <t>1. Obtain technology risk reports submitted to the board or board committee for the last 4 quarters.
2. Verify a consistent quarterly (or more frequent) reporting cadence with no gaps.
3. Review report content for inclusion of: key risk indicators, incident trends, compliance metrics, audit remediation status, and emerging technology risk commentary.
4. Confirm reports cover all SC-GL/6-2023 domains and are not limited to cybersecurity incidents alone.</t>
        </is>
      </c>
      <c r="E29" s="28" t="inlineStr">
        <is>
          <t>Technology risk reports (last 4 quarters); Board committee agenda confirming standing reporting item; Report content checklist or template; Reports covering all GTRM domains</t>
        </is>
      </c>
      <c r="F29" s="29" t="inlineStr">
        <is>
          <t>Inspection</t>
        </is>
      </c>
      <c r="G29" s="26" t="inlineStr"/>
      <c r="H29" s="26" t="inlineStr"/>
      <c r="I29" s="26" t="inlineStr"/>
      <c r="J29" s="26" t="inlineStr"/>
      <c r="K29" s="26" t="inlineStr"/>
      <c r="L29" s="26" t="inlineStr"/>
      <c r="M29">
        <f>IF(K29="Compliant",3,IF(K29="Partially Compliant",2,IF(K29="Non-Compliant",1,"")))</f>
        <v/>
      </c>
    </row>
    <row r="30" ht="120" customHeight="1">
      <c r="A30" s="24" t="inlineStr">
        <is>
          <t>GRA-4</t>
        </is>
      </c>
      <c r="B30" s="11" t="inlineStr">
        <is>
          <t>Technology Risk Reporting</t>
        </is>
      </c>
      <c r="C30" s="11" t="inlineStr">
        <is>
          <t>Key Risk Indicators &amp; thresholds</t>
        </is>
      </c>
      <c r="D30" s="11" t="inlineStr">
        <is>
          <t>1. Obtain the documented KRI definitions and thresholds for technology risk.
2. Verify that KRIs cover capital market-specific risk dimensions: trading system availability, settlement failure rates, cybersecurity incident counts, patch compliance, and vendor SLA performance.
3. Confirm escalation triggers are defined for threshold breaches and review evidence that breaches have been escalated in practice.
4. Assess whether KRI thresholds are calibrated periodically (at least annually) and reviewed for continued appropriateness.</t>
        </is>
      </c>
      <c r="E30" s="11" t="inlineStr">
        <is>
          <t>KRI definitions and threshold document; Evidence of threshold breach escalation (last 12 months); KRI calibration review records; Capital market-specific KRI examples (system availability, settlement failure rate)</t>
        </is>
      </c>
      <c r="F30" s="25" t="inlineStr">
        <is>
          <t>Inspection</t>
        </is>
      </c>
      <c r="G30" s="26" t="inlineStr"/>
      <c r="H30" s="26" t="inlineStr"/>
      <c r="I30" s="26" t="inlineStr"/>
      <c r="J30" s="26" t="inlineStr"/>
      <c r="K30" s="26" t="inlineStr"/>
      <c r="L30" s="26" t="inlineStr"/>
      <c r="M30">
        <f>IF(K30="Compliant",3,IF(K30="Partially Compliant",2,IF(K30="Non-Compliant",1,"")))</f>
        <v/>
      </c>
    </row>
    <row r="31" ht="120" customHeight="1">
      <c r="A31" s="27" t="inlineStr">
        <is>
          <t>GRA-4</t>
        </is>
      </c>
      <c r="B31" s="28" t="inlineStr">
        <is>
          <t>Technology Risk Reporting</t>
        </is>
      </c>
      <c r="C31" s="28" t="inlineStr">
        <is>
          <t>Board engagement with risk reports</t>
        </is>
      </c>
      <c r="D31" s="28" t="inlineStr">
        <is>
          <t>1. Review board or board committee minutes from the last 4 quarters to confirm discussion of technology risk reports.
2. Verify that minutes record board questions, challenges, and decisions taken in response to risk reporting.
3. Confirm that board directives or action items arising from risk reporting are tracked to completion.
4. Assess whether the board has requested deeper analysis or additional reporting on specific risk areas in the last 12 months.</t>
        </is>
      </c>
      <c r="E31" s="28" t="inlineStr">
        <is>
          <t>Board/committee minutes documenting risk report discussion (last 4 quarters); Board action items arising from risk reports; Evidence of board-requested deep-dive analyses; Board directive tracking log</t>
        </is>
      </c>
      <c r="F31" s="29" t="inlineStr">
        <is>
          <t>Inspection</t>
        </is>
      </c>
      <c r="G31" s="26" t="inlineStr"/>
      <c r="H31" s="26" t="inlineStr"/>
      <c r="I31" s="26" t="inlineStr"/>
      <c r="J31" s="26" t="inlineStr"/>
      <c r="K31" s="26" t="inlineStr"/>
      <c r="L31" s="26" t="inlineStr"/>
      <c r="M31">
        <f>IF(K31="Compliant",3,IF(K31="Partially Compliant",2,IF(K31="Non-Compliant",1,"")))</f>
        <v/>
      </c>
    </row>
    <row r="32" ht="120" customHeight="1">
      <c r="A32" s="24" t="inlineStr">
        <is>
          <t>GRA-4</t>
        </is>
      </c>
      <c r="B32" s="11" t="inlineStr">
        <is>
          <t>Technology Risk Reporting</t>
        </is>
      </c>
      <c r="C32" s="11" t="inlineStr">
        <is>
          <t>Emerging risk identification &amp; reporting</t>
        </is>
      </c>
      <c r="D32" s="11" t="inlineStr">
        <is>
          <t>1. Review the last 4 quarterly reports for inclusion of emerging technology risk commentary.
2. Verify that emerging risks reported are relevant to capital market operations (e.g., AI/ML risks in algorithmic trading, quantum computing threats, supply chain attacks, new SC regulatory requirements).
3. Confirm the entity has a process for identifying emerging risks through horizon scanning, industry intelligence, and SC advisory monitoring.
4. Interview the CISO or CRO to understand how emerging risks are identified, assessed, and prioritised for board reporting.</t>
        </is>
      </c>
      <c r="E32" s="11" t="inlineStr">
        <is>
          <t>Emerging risk sections from quarterly reports; Horizon scanning or emerging risk identification process documentation; SC advisory monitoring log; CISO/CRO interview notes on emerging risk process</t>
        </is>
      </c>
      <c r="F32" s="25" t="inlineStr">
        <is>
          <t>Inspection / Inquiry</t>
        </is>
      </c>
      <c r="G32" s="26" t="inlineStr"/>
      <c r="H32" s="26" t="inlineStr"/>
      <c r="I32" s="26" t="inlineStr"/>
      <c r="J32" s="26" t="inlineStr"/>
      <c r="K32" s="26" t="inlineStr"/>
      <c r="L32" s="26" t="inlineStr"/>
      <c r="M32">
        <f>IF(K32="Compliant",3,IF(K32="Partially Compliant",2,IF(K32="Non-Compliant",1,"")))</f>
        <v/>
      </c>
    </row>
    <row r="33" ht="120" customHeight="1">
      <c r="A33" s="27" t="inlineStr">
        <is>
          <t>GRA-4</t>
        </is>
      </c>
      <c r="B33" s="28" t="inlineStr">
        <is>
          <t>Technology Risk Reporting</t>
        </is>
      </c>
      <c r="C33" s="28" t="inlineStr">
        <is>
          <t>Audit finding remediation reporting</t>
        </is>
      </c>
      <c r="D33" s="28" t="inlineStr">
        <is>
          <t>1. Verify that technology risk reports include the status of audit finding remediation.
2. Review the remediation tracking section of the most recent 2 quarterly reports for accuracy — cross-check against the audit findings tracker.
3. Confirm that overdue findings are highlighted and escalated to the board with owner accountability.
4. Assess whether the board has visibility over the ageing profile of open audit findings and trend over time.</t>
        </is>
      </c>
      <c r="E33" s="28" t="inlineStr">
        <is>
          <t>Audit remediation status sections from quarterly reports (last 2 quarters); Audit findings tracker for cross-reference; Board escalation records for overdue findings; Ageing profile of open findings</t>
        </is>
      </c>
      <c r="F33" s="29" t="inlineStr">
        <is>
          <t>Inspection</t>
        </is>
      </c>
      <c r="G33" s="26" t="inlineStr"/>
      <c r="H33" s="26" t="inlineStr"/>
      <c r="I33" s="26" t="inlineStr"/>
      <c r="J33" s="26" t="inlineStr"/>
      <c r="K33" s="26" t="inlineStr"/>
      <c r="L33" s="26" t="inlineStr"/>
      <c r="M33">
        <f>IF(K33="Compliant",3,IF(K33="Partially Compliant",2,IF(K33="Non-Compliant",1,"")))</f>
        <v/>
      </c>
    </row>
    <row r="34" ht="24" customHeight="1">
      <c r="A34" s="30" t="inlineStr">
        <is>
          <t>GRA-5 — Technology Risk Assessment Framework</t>
        </is>
      </c>
    </row>
    <row r="35" ht="72" customHeight="1">
      <c r="A35" s="23" t="inlineStr">
        <is>
          <t>PURPOSE: SC-GL/6-2023 requires capital market intermediaries to maintain a structured technology risk assessment framework that identifies, assesses, and treats technology risks across all capital market operations. This ensures risks are systematically managed rather than addressed ad hoc.
EXPECTATION: The assessor should find a documented risk assessment methodology with capital market-specific risk categories, a current risk register with assigned owners and treatment plans, annual comprehensive assessments completed within 12 months, and integration with the enterprise risk management framework. Out-of-cycle assessment triggers should be defined for material changes.
KEY RISK: Without a structured risk assessment framework, technology risks affecting trading systems, settlement infrastructure, and market data integrity may be unidentified or underestimated, leading to inadequate controls and potential market disruption.</t>
        </is>
      </c>
    </row>
    <row r="36" ht="120" customHeight="1">
      <c r="A36" s="24" t="inlineStr">
        <is>
          <t>GRA-5</t>
        </is>
      </c>
      <c r="B36" s="11" t="inlineStr">
        <is>
          <t>Technology Risk Assessment Framework</t>
        </is>
      </c>
      <c r="C36" s="11" t="inlineStr">
        <is>
          <t>Risk assessment methodology</t>
        </is>
      </c>
      <c r="D36" s="11" t="inlineStr">
        <is>
          <t>1. Obtain the technology risk assessment methodology document.
2. Verify it defines risk identification approaches, likelihood and impact assessment criteria, risk rating scales, and treatment options aligned with SC-GL/6-2023.
3. Confirm the methodology addresses capital market-specific risk categories including trading system failure, settlement disruption, market data corruption, and client data breach.
4. Assess whether the methodology is consistent with the entity's enterprise risk management framework.</t>
        </is>
      </c>
      <c r="E36" s="11" t="inlineStr">
        <is>
          <t>Technology risk assessment methodology document; Risk rating scales and criteria; Capital market-specific risk category definitions; ERM framework alignment mapping</t>
        </is>
      </c>
      <c r="F36" s="25" t="inlineStr">
        <is>
          <t>Inspection</t>
        </is>
      </c>
      <c r="G36" s="26" t="inlineStr"/>
      <c r="H36" s="26" t="inlineStr"/>
      <c r="I36" s="26" t="inlineStr"/>
      <c r="J36" s="26" t="inlineStr"/>
      <c r="K36" s="26" t="inlineStr"/>
      <c r="L36" s="26" t="inlineStr"/>
      <c r="M36">
        <f>IF(K36="Compliant",3,IF(K36="Partially Compliant",2,IF(K36="Non-Compliant",1,"")))</f>
        <v/>
      </c>
    </row>
    <row r="37" ht="120" customHeight="1">
      <c r="A37" s="27" t="inlineStr">
        <is>
          <t>GRA-5</t>
        </is>
      </c>
      <c r="B37" s="28" t="inlineStr">
        <is>
          <t>Technology Risk Assessment Framework</t>
        </is>
      </c>
      <c r="C37" s="28" t="inlineStr">
        <is>
          <t>Annual comprehensive risk assessment</t>
        </is>
      </c>
      <c r="D37" s="28" t="inlineStr">
        <is>
          <t>1. Obtain the most recent annual technology risk assessment report.
2. Verify the assessment covers all capital market technology domains: trading systems, settlement and clearing infrastructure, market data systems, client portals, and supporting IT infrastructure.
3. Confirm the assessment identifies specific risks, assigns risk ratings, and documents treatment decisions with assigned owners.
4. Verify the assessment was completed within the last 12 months and results were presented to senior management and the board.</t>
        </is>
      </c>
      <c r="E37" s="28" t="inlineStr">
        <is>
          <t>Annual technology risk assessment report (last 12 months); Risk register extract showing identified risks, ratings, and owners; Board or senior management presentation of assessment results; Assessment scope documentation covering all capital market domains</t>
        </is>
      </c>
      <c r="F37" s="29" t="inlineStr">
        <is>
          <t>Inspection</t>
        </is>
      </c>
      <c r="G37" s="26" t="inlineStr"/>
      <c r="H37" s="26" t="inlineStr"/>
      <c r="I37" s="26" t="inlineStr"/>
      <c r="J37" s="26" t="inlineStr"/>
      <c r="K37" s="26" t="inlineStr"/>
      <c r="L37" s="26" t="inlineStr"/>
      <c r="M37">
        <f>IF(K37="Compliant",3,IF(K37="Partially Compliant",2,IF(K37="Non-Compliant",1,"")))</f>
        <v/>
      </c>
    </row>
    <row r="38" ht="120" customHeight="1">
      <c r="A38" s="24" t="inlineStr">
        <is>
          <t>GRA-5</t>
        </is>
      </c>
      <c r="B38" s="11" t="inlineStr">
        <is>
          <t>Technology Risk Assessment Framework</t>
        </is>
      </c>
      <c r="C38" s="11" t="inlineStr">
        <is>
          <t>Risk treatment &amp; tracking</t>
        </is>
      </c>
      <c r="D38" s="11" t="inlineStr">
        <is>
          <t>1. Select a sample of 5 high-rated technology risks from the risk register (per sampling methodology).
2. For each, trace through to the treatment plan and verify it documents: treatment approach (mitigate, accept, transfer, avoid), specific actions, responsible owner, target date, and current status.
3. Confirm that risk acceptances are approved at the appropriate level of authority and documented with compensating controls where applicable.
4. Verify that the risk register is maintained as a living document with regular updates — not only updated at annual assessment time.</t>
        </is>
      </c>
      <c r="E38" s="11" t="inlineStr">
        <is>
          <t>Risk register with treatment plans (sample of 5 high-rated risks per sampling methodology); Risk acceptance approvals with authority evidence; Treatment action tracking log; Risk register update history showing regular maintenance</t>
        </is>
      </c>
      <c r="F38" s="25" t="inlineStr">
        <is>
          <t>Inspection</t>
        </is>
      </c>
      <c r="G38" s="26" t="inlineStr"/>
      <c r="H38" s="26" t="inlineStr"/>
      <c r="I38" s="26" t="inlineStr"/>
      <c r="J38" s="26" t="inlineStr"/>
      <c r="K38" s="26" t="inlineStr"/>
      <c r="L38" s="26" t="inlineStr"/>
      <c r="M38">
        <f>IF(K38="Compliant",3,IF(K38="Partially Compliant",2,IF(K38="Non-Compliant",1,"")))</f>
        <v/>
      </c>
    </row>
    <row r="39" ht="120" customHeight="1">
      <c r="A39" s="27" t="inlineStr">
        <is>
          <t>GRA-5</t>
        </is>
      </c>
      <c r="B39" s="28" t="inlineStr">
        <is>
          <t>Technology Risk Assessment Framework</t>
        </is>
      </c>
      <c r="C39" s="28" t="inlineStr">
        <is>
          <t>ERM integration</t>
        </is>
      </c>
      <c r="D39" s="28" t="inlineStr">
        <is>
          <t>1. Interview the CRO or risk management team to understand how technology risk assessment results feed into the enterprise risk register and risk appetite monitoring.
2. Verify that technology risks are represented in the enterprise risk register at an appropriate level of granularity.
3. Confirm that technology risk assessments use consistent scales and terminology with the enterprise risk framework to enable comparison.
4. Assess whether technology risk reporting to the board is integrated with enterprise risk reporting or delivered as a separate, disconnected stream.</t>
        </is>
      </c>
      <c r="E39" s="28" t="inlineStr">
        <is>
          <t>Enterprise risk register showing technology risk entries; ERM framework referencing technology risk integration; CRO/risk team interview notes; Board risk report showing integrated technology and enterprise risk view</t>
        </is>
      </c>
      <c r="F39" s="29" t="inlineStr">
        <is>
          <t>Inspection / Inquiry</t>
        </is>
      </c>
      <c r="G39" s="26" t="inlineStr"/>
      <c r="H39" s="26" t="inlineStr"/>
      <c r="I39" s="26" t="inlineStr"/>
      <c r="J39" s="26" t="inlineStr"/>
      <c r="K39" s="26" t="inlineStr"/>
      <c r="L39" s="26" t="inlineStr"/>
      <c r="M39">
        <f>IF(K39="Compliant",3,IF(K39="Partially Compliant",2,IF(K39="Non-Compliant",1,"")))</f>
        <v/>
      </c>
    </row>
    <row r="40" ht="120" customHeight="1">
      <c r="A40" s="24" t="inlineStr">
        <is>
          <t>GRA-5</t>
        </is>
      </c>
      <c r="B40" s="11" t="inlineStr">
        <is>
          <t>Technology Risk Assessment Framework</t>
        </is>
      </c>
      <c r="C40" s="11" t="inlineStr">
        <is>
          <t>Out-of-cycle risk assessment triggers</t>
        </is>
      </c>
      <c r="D40" s="11" t="inlineStr">
        <is>
          <t>1. Verify that documented triggers exist for conducting out-of-cycle technology risk assessments (e.g., major system changes, significant incidents, new SC guidance, material market events).
2. Review whether any out-of-cycle assessments have been conducted in the last 12 months and assess their adequacy.
3. Confirm that the trigger criteria are aligned with capital market operating conditions, including triggers related to Bursa Malaysia system changes, new trading products, and regulatory changes.
4. Interview the risk team to understand how ad-hoc risk assessments are initiated and whether the process is responsive enough for fast-moving market conditions.</t>
        </is>
      </c>
      <c r="E40" s="11" t="inlineStr">
        <is>
          <t>Out-of-cycle assessment trigger criteria documentation; Records of out-of-cycle assessments conducted (last 12 months, if any); Risk team interview notes on trigger responsiveness; Trigger criteria referencing capital market events</t>
        </is>
      </c>
      <c r="F40" s="25" t="inlineStr">
        <is>
          <t>Inspection / Inquiry</t>
        </is>
      </c>
      <c r="G40" s="26" t="inlineStr"/>
      <c r="H40" s="26" t="inlineStr"/>
      <c r="I40" s="26" t="inlineStr"/>
      <c r="J40" s="26" t="inlineStr"/>
      <c r="K40" s="26" t="inlineStr"/>
      <c r="L40" s="26" t="inlineStr"/>
      <c r="M40">
        <f>IF(K40="Compliant",3,IF(K40="Partially Compliant",2,IF(K40="Non-Compliant",1,"")))</f>
        <v/>
      </c>
    </row>
    <row r="41" ht="24" customHeight="1">
      <c r="A41" s="30" t="inlineStr">
        <is>
          <t>GRA-6 — Algorithmic Trading Risk Controls</t>
        </is>
      </c>
    </row>
    <row r="42" ht="72" customHeight="1">
      <c r="A42" s="23" t="inlineStr">
        <is>
          <t>PURPOSE: SC-GL/6-2023 requires capital market intermediaries using algorithmic trading to implement robust pre-trade and post-trade risk controls to prevent market disruption and manipulation. This control ensures that algorithmic trading activity is conducted within defined risk parameters with effective kill switch and surveillance capabilities.
EXPECTATION: The assessor should find documented pre-trade risk controls (price limits, order size limits, position limits) actively configured and calibrated, a tested kill switch capability, a formal algorithm approval process with compliance sign-off, and post-trade surveillance monitoring for market manipulation patterns. Periodic reviews and recalibration should be evidenced.
KEY RISK: Inadequate algorithmic trading controls can result in errant orders, market manipulation, or runaway algorithms that disrupt Bursa Malaysia market operations, triggering regulatory action from the SC and potential financial losses to clients and the intermediary.</t>
        </is>
      </c>
    </row>
    <row r="43" ht="120" customHeight="1">
      <c r="A43" s="27" t="inlineStr">
        <is>
          <t>GRA-6</t>
        </is>
      </c>
      <c r="B43" s="28" t="inlineStr">
        <is>
          <t>Algorithmic Trading Risk Controls</t>
        </is>
      </c>
      <c r="C43" s="28" t="inlineStr">
        <is>
          <t>Pre-trade risk controls</t>
        </is>
      </c>
      <c r="D43" s="28" t="inlineStr">
        <is>
          <t>1. Obtain documentation of all pre-trade risk controls configured in the algorithmic trading system (price limits, order size limits, position limits, daily loss limits, message throttling).
2. Verify that pre-trade control thresholds are calibrated to current market conditions and the entity's risk appetite — not set at default or stale values.
3. Inspect the trading system configuration to confirm pre-trade controls are active and cannot be bypassed without authorised override and logging.
4. Review records from the last quarter of any pre-trade control triggers or breaches, confirming each was detected, logged, and investigated.</t>
        </is>
      </c>
      <c r="E43" s="28" t="inlineStr">
        <is>
          <t>Pre-trade risk control configuration documentation; Trading system screenshots or configuration exports showing active controls; Threshold calibration records and approval; Pre-trade control trigger/breach log (last quarter)</t>
        </is>
      </c>
      <c r="F43" s="29" t="inlineStr">
        <is>
          <t>Inspection</t>
        </is>
      </c>
      <c r="G43" s="26" t="inlineStr"/>
      <c r="H43" s="26" t="inlineStr"/>
      <c r="I43" s="26" t="inlineStr"/>
      <c r="J43" s="26" t="inlineStr"/>
      <c r="K43" s="26" t="inlineStr"/>
      <c r="L43" s="26" t="inlineStr"/>
      <c r="M43">
        <f>IF(K43="Compliant",3,IF(K43="Partially Compliant",2,IF(K43="Non-Compliant",1,"")))</f>
        <v/>
      </c>
    </row>
    <row r="44" ht="120" customHeight="1">
      <c r="A44" s="24" t="inlineStr">
        <is>
          <t>GRA-6</t>
        </is>
      </c>
      <c r="B44" s="11" t="inlineStr">
        <is>
          <t>Algorithmic Trading Risk Controls</t>
        </is>
      </c>
      <c r="C44" s="11" t="inlineStr">
        <is>
          <t>Kill switch capability</t>
        </is>
      </c>
      <c r="D44" s="11" t="inlineStr">
        <is>
          <t>1. Request a demonstration or documented evidence of the kill switch capability for halting all algorithmic trading activity.
2. Verify that the kill switch can halt all algorithmic orders within a defined timeframe (target: seconds, not minutes).
3. Confirm that authority to activate the kill switch is clearly defined and multiple authorised personnel can activate it during market hours.
4. Review kill switch test records from the last 12 months and verify testing was conducted in a realistic scenario (not just a documentation exercise).</t>
        </is>
      </c>
      <c r="E44" s="11" t="inlineStr">
        <is>
          <t>Kill switch documentation (design, activation procedure); Kill switch test records (last 12 months); List of authorised personnel for kill switch activation; Kill switch activation log (if any live activations); Test scenario description and results</t>
        </is>
      </c>
      <c r="F44" s="25" t="inlineStr">
        <is>
          <t>Inspection / Observation</t>
        </is>
      </c>
      <c r="G44" s="26" t="inlineStr"/>
      <c r="H44" s="26" t="inlineStr"/>
      <c r="I44" s="26" t="inlineStr"/>
      <c r="J44" s="26" t="inlineStr"/>
      <c r="K44" s="26" t="inlineStr"/>
      <c r="L44" s="26" t="inlineStr"/>
      <c r="M44">
        <f>IF(K44="Compliant",3,IF(K44="Partially Compliant",2,IF(K44="Non-Compliant",1,"")))</f>
        <v/>
      </c>
    </row>
    <row r="45" ht="120" customHeight="1">
      <c r="A45" s="27" t="inlineStr">
        <is>
          <t>GRA-6</t>
        </is>
      </c>
      <c r="B45" s="28" t="inlineStr">
        <is>
          <t>Algorithmic Trading Risk Controls</t>
        </is>
      </c>
      <c r="C45" s="28" t="inlineStr">
        <is>
          <t>Algorithm testing &amp; approval process</t>
        </is>
      </c>
      <c r="D45" s="28" t="inlineStr">
        <is>
          <t>1. Obtain the algorithm testing and approval procedure document.
2. Select a sample of 3 recently deployed algorithms (per sampling methodology) and review the approval records including: risk assessment, compliance sign-off, and formal authorisation before production deployment.
3. For the same sample, verify testing evidence including backtesting results, simulation testing in a non-production environment, and stress testing under extreme market conditions.
4. Confirm that no algorithm was deployed to production without completing all required approval gates.
5. Interview the Head of Trading to understand how algorithm performance is monitored post-deployment and what triggers a review or suspension.</t>
        </is>
      </c>
      <c r="E45" s="28" t="inlineStr">
        <is>
          <t>Algorithm testing and approval procedure; Approval records for 3 recently deployed algorithms (per sampling methodology); Backtesting and simulation test results; Stress test results under extreme market conditions; Compliance sign-off records; Head of Trading interview notes</t>
        </is>
      </c>
      <c r="F45" s="29" t="inlineStr">
        <is>
          <t>Inspection / Inquiry</t>
        </is>
      </c>
      <c r="G45" s="26" t="inlineStr"/>
      <c r="H45" s="26" t="inlineStr"/>
      <c r="I45" s="26" t="inlineStr"/>
      <c r="J45" s="26" t="inlineStr"/>
      <c r="K45" s="26" t="inlineStr"/>
      <c r="L45" s="26" t="inlineStr"/>
      <c r="M45">
        <f>IF(K45="Compliant",3,IF(K45="Partially Compliant",2,IF(K45="Non-Compliant",1,"")))</f>
        <v/>
      </c>
    </row>
    <row r="46" ht="120" customHeight="1">
      <c r="A46" s="24" t="inlineStr">
        <is>
          <t>GRA-6</t>
        </is>
      </c>
      <c r="B46" s="11" t="inlineStr">
        <is>
          <t>Algorithmic Trading Risk Controls</t>
        </is>
      </c>
      <c r="C46" s="11" t="inlineStr">
        <is>
          <t>Post-trade surveillance &amp; market manipulation monitoring</t>
        </is>
      </c>
      <c r="D46" s="11" t="inlineStr">
        <is>
          <t>1. Inspect post-trade surveillance reports for the last 3 months (per sampling methodology) to verify monitoring for market manipulation patterns in algorithmic activity (spoofing, layering, wash trading, momentum ignition).
2. Verify that surveillance rules are calibrated to detect manipulation patterns specific to the entity's algorithmic trading strategies and the instruments traded on Bursa Malaysia.
3. Review a sample of 5 surveillance alerts (per sampling methodology) and confirm each was investigated, documented, and resolved appropriately.
4. Assess whether post-trade surveillance findings are reported to Compliance and, where required, escalated to SC or Bursa Malaysia.</t>
        </is>
      </c>
      <c r="E46" s="11" t="inlineStr">
        <is>
          <t>Post-trade surveillance reports (last 3 months); Surveillance rule definitions for market manipulation detection; Sample alert investigation records (5 alerts per sampling methodology); Escalation records to Compliance, SC, or Bursa (if applicable)</t>
        </is>
      </c>
      <c r="F46" s="25" t="inlineStr">
        <is>
          <t>Inspection</t>
        </is>
      </c>
      <c r="G46" s="26" t="inlineStr"/>
      <c r="H46" s="26" t="inlineStr"/>
      <c r="I46" s="26" t="inlineStr"/>
      <c r="J46" s="26" t="inlineStr"/>
      <c r="K46" s="26" t="inlineStr"/>
      <c r="L46" s="26" t="inlineStr"/>
      <c r="M46">
        <f>IF(K46="Compliant",3,IF(K46="Partially Compliant",2,IF(K46="Non-Compliant",1,"")))</f>
        <v/>
      </c>
    </row>
    <row r="47" ht="120" customHeight="1">
      <c r="A47" s="27" t="inlineStr">
        <is>
          <t>GRA-6</t>
        </is>
      </c>
      <c r="B47" s="28" t="inlineStr">
        <is>
          <t>Algorithmic Trading Risk Controls</t>
        </is>
      </c>
      <c r="C47" s="28" t="inlineStr">
        <is>
          <t>Limit breach response &amp; escalation</t>
        </is>
      </c>
      <c r="D47" s="28" t="inlineStr">
        <is>
          <t>1. Review the documented escalation procedure for pre-trade limit breaches and post-trade surveillance alerts during market hours.
2. Obtain records of any limit breaches or kill switch activations in the last 12 months.
3. For each breach event, verify appropriate investigation was conducted, root cause identified, and follow-up actions taken to prevent recurrence.
4. Interview the risk controls team to understand how limit breaches are detected and escalated in real-time during market hours, including communication between trading desk, risk, and compliance.</t>
        </is>
      </c>
      <c r="E47" s="28" t="inlineStr">
        <is>
          <t>Limit breach escalation procedure; Breach event records (last 12 months); Investigation and root cause analysis reports for breaches; Risk controls team interview notes; Communication logs between trading, risk, and compliance during breach events</t>
        </is>
      </c>
      <c r="F47" s="29" t="inlineStr">
        <is>
          <t>Inspection / Inquiry</t>
        </is>
      </c>
      <c r="G47" s="26" t="inlineStr"/>
      <c r="H47" s="26" t="inlineStr"/>
      <c r="I47" s="26" t="inlineStr"/>
      <c r="J47" s="26" t="inlineStr"/>
      <c r="K47" s="26" t="inlineStr"/>
      <c r="L47" s="26" t="inlineStr"/>
      <c r="M47">
        <f>IF(K47="Compliant",3,IF(K47="Partially Compliant",2,IF(K47="Non-Compliant",1,"")))</f>
        <v/>
      </c>
    </row>
    <row r="48" ht="120" customHeight="1">
      <c r="A48" s="24" t="inlineStr">
        <is>
          <t>GRA-6</t>
        </is>
      </c>
      <c r="B48" s="11" t="inlineStr">
        <is>
          <t>Algorithmic Trading Risk Controls</t>
        </is>
      </c>
      <c r="C48" s="11" t="inlineStr">
        <is>
          <t>Periodic algorithm review &amp; recalibration</t>
        </is>
      </c>
      <c r="D48" s="11" t="inlineStr">
        <is>
          <t>1. Obtain records of periodic reviews conducted for existing production algorithms (at minimum annually).
2. Verify that reviews assess continued appropriateness, performance against expectations, and risk profile under current market conditions.
3. Confirm that pre-trade control thresholds and position limits are recalibrated based on changed market conditions, volumes, and volatility.
4. Review any instances where an algorithm was suspended or retired following periodic review and verify the decision was documented and approved.</t>
        </is>
      </c>
      <c r="E48" s="11" t="inlineStr">
        <is>
          <t>Periodic algorithm review records (last 12 months); Threshold recalibration records; Algorithm suspension or retirement decisions (if any); Review approval records signed by Head of Trading and Compliance</t>
        </is>
      </c>
      <c r="F48" s="25" t="inlineStr">
        <is>
          <t>Inspection</t>
        </is>
      </c>
      <c r="G48" s="26" t="inlineStr"/>
      <c r="H48" s="26" t="inlineStr"/>
      <c r="I48" s="26" t="inlineStr"/>
      <c r="J48" s="26" t="inlineStr"/>
      <c r="K48" s="26" t="inlineStr"/>
      <c r="L48" s="26" t="inlineStr"/>
      <c r="M48">
        <f>IF(K48="Compliant",3,IF(K48="Partially Compliant",2,IF(K48="Non-Compliant",1,"")))</f>
        <v/>
      </c>
    </row>
    <row r="49" ht="24" customHeight="1">
      <c r="A49" s="30" t="inlineStr">
        <is>
          <t>GRA-7 — Technology Change Risk Assessment</t>
        </is>
      </c>
    </row>
    <row r="50" ht="72" customHeight="1">
      <c r="A50" s="23" t="inlineStr">
        <is>
          <t>PURPOSE: SC-GL/6-2023 requires capital market intermediaries to conduct risk assessments for technology changes before production deployment, with heightened controls for changes to trading and settlement systems. This ensures that changes do not introduce unacceptable risks to market operations or client services.
EXPECTATION: The assessor should find a change management process with defined risk classification tiers, documented risk assessments for critical changes, appropriate testing and approval gates, rollback procedures accounting for market hours, and controlled emergency change processes. Change freeze policies during trading hours should be evidenced.
KEY RISK: Inadequate change risk assessment can lead to production failures in trading or settlement systems during market hours, causing trade execution failures, settlement delays, or data integrity issues that harm clients and attract regulatory scrutiny.</t>
        </is>
      </c>
    </row>
    <row r="51" ht="120" customHeight="1">
      <c r="A51" s="27" t="inlineStr">
        <is>
          <t>GRA-7</t>
        </is>
      </c>
      <c r="B51" s="28" t="inlineStr">
        <is>
          <t>Technology Change Risk Assessment</t>
        </is>
      </c>
      <c r="C51" s="28" t="inlineStr">
        <is>
          <t>Change classification &amp; risk assessment</t>
        </is>
      </c>
      <c r="D51" s="28" t="inlineStr">
        <is>
          <t>1. Obtain the change management policy and verify it defines change risk classification criteria (critical, significant, standard) with corresponding risk assessment and approval requirements for each tier.
2. Select a sample of 5 recent changes to critical trading or settlement systems (per sampling methodology).
3. For each, verify a documented risk assessment was completed before production deployment that considers impact on trading operations, settlement processing, and client services.
4. Confirm that risk assessment findings informed the testing approach and approval requirements applied to each change.</t>
        </is>
      </c>
      <c r="E51" s="28" t="inlineStr">
        <is>
          <t>Change management policy with classification criteria; Change records for 5 critical/significant changes (per sampling methodology); Risk assessment documentation for each sampled change; Evidence linking risk assessment outcomes to testing and approval requirements</t>
        </is>
      </c>
      <c r="F51" s="29" t="inlineStr">
        <is>
          <t>Inspection</t>
        </is>
      </c>
      <c r="G51" s="26" t="inlineStr"/>
      <c r="H51" s="26" t="inlineStr"/>
      <c r="I51" s="26" t="inlineStr"/>
      <c r="J51" s="26" t="inlineStr"/>
      <c r="K51" s="26" t="inlineStr"/>
      <c r="L51" s="26" t="inlineStr"/>
      <c r="M51">
        <f>IF(K51="Compliant",3,IF(K51="Partially Compliant",2,IF(K51="Non-Compliant",1,"")))</f>
        <v/>
      </c>
    </row>
    <row r="52" ht="120" customHeight="1">
      <c r="A52" s="24" t="inlineStr">
        <is>
          <t>GRA-7</t>
        </is>
      </c>
      <c r="B52" s="11" t="inlineStr">
        <is>
          <t>Technology Change Risk Assessment</t>
        </is>
      </c>
      <c r="C52" s="11" t="inlineStr">
        <is>
          <t>Testing &amp; approval gates</t>
        </is>
      </c>
      <c r="D52" s="11" t="inlineStr">
        <is>
          <t>1. For the same sample of 5 changes (per sampling methodology), verify that each completed required testing in a non-production environment before deployment.
2. Confirm that appropriate approval was obtained at each gate, with approvers having sufficient authority and independence from the change requestor.
3. Verify that user acceptance testing (UAT) was conducted and signed off by the business owner for changes affecting trading or settlement functionality.
4. Assess whether testing covered regression, performance, and security aspects in addition to functional testing.</t>
        </is>
      </c>
      <c r="E52" s="11" t="inlineStr">
        <is>
          <t>Test plans and results for sampled changes; Approval records with approver names and authority; UAT sign-off records from business owners; Evidence of regression, performance, and security testing</t>
        </is>
      </c>
      <c r="F52" s="25" t="inlineStr">
        <is>
          <t>Inspection</t>
        </is>
      </c>
      <c r="G52" s="26" t="inlineStr"/>
      <c r="H52" s="26" t="inlineStr"/>
      <c r="I52" s="26" t="inlineStr"/>
      <c r="J52" s="26" t="inlineStr"/>
      <c r="K52" s="26" t="inlineStr"/>
      <c r="L52" s="26" t="inlineStr"/>
      <c r="M52">
        <f>IF(K52="Compliant",3,IF(K52="Partially Compliant",2,IF(K52="Non-Compliant",1,"")))</f>
        <v/>
      </c>
    </row>
    <row r="53" ht="120" customHeight="1">
      <c r="A53" s="27" t="inlineStr">
        <is>
          <t>GRA-7</t>
        </is>
      </c>
      <c r="B53" s="28" t="inlineStr">
        <is>
          <t>Technology Change Risk Assessment</t>
        </is>
      </c>
      <c r="C53" s="28" t="inlineStr">
        <is>
          <t>Rollback procedures &amp; post-implementation review</t>
        </is>
      </c>
      <c r="D53" s="28" t="inlineStr">
        <is>
          <t>1. For the same sample of 5 changes (per sampling methodology), verify that rollback procedures were defined before deployment and are specific enough to be executed if the change fails.
2. Confirm that post-implementation reviews were conducted to verify the change met objectives and no adverse impacts occurred.
3. Assess whether rollback procedures for trading system changes account for market operating hours and the need to restore service before the next trading session.
4. Review any instances where a rollback was actually executed in the last 12 months and verify the rollback process worked as designed.</t>
        </is>
      </c>
      <c r="E53" s="28" t="inlineStr">
        <is>
          <t>Rollback procedure documentation for sampled changes; Post-implementation review records; Rollback execution records (if any, last 12 months); Market hours considerations in rollback procedures for trading systems</t>
        </is>
      </c>
      <c r="F53" s="29" t="inlineStr">
        <is>
          <t>Inspection</t>
        </is>
      </c>
      <c r="G53" s="26" t="inlineStr"/>
      <c r="H53" s="26" t="inlineStr"/>
      <c r="I53" s="26" t="inlineStr"/>
      <c r="J53" s="26" t="inlineStr"/>
      <c r="K53" s="26" t="inlineStr"/>
      <c r="L53" s="26" t="inlineStr"/>
      <c r="M53">
        <f>IF(K53="Compliant",3,IF(K53="Partially Compliant",2,IF(K53="Non-Compliant",1,"")))</f>
        <v/>
      </c>
    </row>
    <row r="54" ht="120" customHeight="1">
      <c r="A54" s="24" t="inlineStr">
        <is>
          <t>GRA-7</t>
        </is>
      </c>
      <c r="B54" s="11" t="inlineStr">
        <is>
          <t>Technology Change Risk Assessment</t>
        </is>
      </c>
      <c r="C54" s="11" t="inlineStr">
        <is>
          <t>Emergency change controls</t>
        </is>
      </c>
      <c r="D54" s="11" t="inlineStr">
        <is>
          <t>1. Review the change log for the last quarter and identify all changes classified as emergency.
2. Calculate the emergency change ratio and assess whether it indicates potential process bypass (red flag: &gt;15% emergency changes).
3. For each emergency change identified, verify retrospective risk assessment and approval was completed within the defined timeframe.
4. Confirm that emergency changes to trading systems during market hours followed specific protocols including real-time risk monitoring and defined rollback triggers.</t>
        </is>
      </c>
      <c r="E54" s="11" t="inlineStr">
        <is>
          <t>Change log for last quarter with emergency change identification; Emergency change ratio calculation; Retrospective approval records for emergency changes; Trading-hours emergency change protocols</t>
        </is>
      </c>
      <c r="F54" s="25" t="inlineStr">
        <is>
          <t>Inspection</t>
        </is>
      </c>
      <c r="G54" s="26" t="inlineStr"/>
      <c r="H54" s="26" t="inlineStr"/>
      <c r="I54" s="26" t="inlineStr"/>
      <c r="J54" s="26" t="inlineStr"/>
      <c r="K54" s="26" t="inlineStr"/>
      <c r="L54" s="26" t="inlineStr"/>
      <c r="M54">
        <f>IF(K54="Compliant",3,IF(K54="Partially Compliant",2,IF(K54="Non-Compliant",1,"")))</f>
        <v/>
      </c>
    </row>
    <row r="55" ht="120" customHeight="1">
      <c r="A55" s="27" t="inlineStr">
        <is>
          <t>GRA-7</t>
        </is>
      </c>
      <c r="B55" s="28" t="inlineStr">
        <is>
          <t>Technology Change Risk Assessment</t>
        </is>
      </c>
      <c r="C55" s="28" t="inlineStr">
        <is>
          <t>Market hours coordination</t>
        </is>
      </c>
      <c r="D55" s="28" t="inlineStr">
        <is>
          <t>1. Interview the change manager to understand how changes to trading and settlement systems are scheduled relative to Bursa Malaysia market operating hours.
2. Verify that a change freeze policy exists prohibiting non-emergency changes to trading systems during market hours and around critical market events (settlement cycles, quarter-end, IPO launches).
3. Review the change schedule for the last quarter to confirm compliance with the change freeze policy.
4. Assess how the entity coordinates changes to market connectivity systems with Bursa Malaysia, clearing houses, and depository schedule windows.</t>
        </is>
      </c>
      <c r="E55" s="28" t="inlineStr">
        <is>
          <t>Change freeze policy for market hours; Change schedule (last quarter) showing compliance with freeze windows; Change manager interview notes on market hours coordination; Coordination records with Bursa Malaysia for connectivity changes</t>
        </is>
      </c>
      <c r="F55" s="29" t="inlineStr">
        <is>
          <t>Inspection / Inquiry</t>
        </is>
      </c>
      <c r="G55" s="26" t="inlineStr"/>
      <c r="H55" s="26" t="inlineStr"/>
      <c r="I55" s="26" t="inlineStr"/>
      <c r="J55" s="26" t="inlineStr"/>
      <c r="K55" s="26" t="inlineStr"/>
      <c r="L55" s="26" t="inlineStr"/>
      <c r="M55">
        <f>IF(K55="Compliant",3,IF(K55="Partially Compliant",2,IF(K55="Non-Compliant",1,"")))</f>
        <v/>
      </c>
    </row>
    <row r="56" ht="24" customHeight="1">
      <c r="A56" s="30" t="inlineStr">
        <is>
          <t>GRA-8 — Technology Audit Programme</t>
        </is>
      </c>
    </row>
    <row r="57" ht="72" customHeight="1">
      <c r="A57" s="23" t="inlineStr">
        <is>
          <t>PURPOSE: SC-GL/6-2023 requires capital market intermediaries to maintain a technology audit programme providing independent assurance over technology risk management. This ensures that controls are independently validated, deficiencies are identified, and remediation is tracked to closure.
EXPECTATION: The assessor should find a risk-based audit plan covering all SC-GL/6-2023 domains over the audit cycle, qualified and independent auditors, quality audit reports with actionable findings, regular audit committee reporting, and a findings remediation tracker with validated closures. High-risk areas like trading systems and algorithmic trading should be prioritised.
KEY RISK: Without an effective technology audit programme, control weaknesses in trading systems, cybersecurity, and third-party arrangements may persist undetected, increasing the risk of operational failures and undermining the intermediary's ability to demonstrate compliance to the SC.</t>
        </is>
      </c>
    </row>
    <row r="58" ht="120" customHeight="1">
      <c r="A58" s="24" t="inlineStr">
        <is>
          <t>GRA-8</t>
        </is>
      </c>
      <c r="B58" s="11" t="inlineStr">
        <is>
          <t>Technology Audit Programme</t>
        </is>
      </c>
      <c r="C58" s="11" t="inlineStr">
        <is>
          <t>Risk-based audit plan</t>
        </is>
      </c>
      <c r="D58" s="11" t="inlineStr">
        <is>
          <t>1. Obtain the current technology audit plan and verify it is risk-based, covering all SC-GL/6-2023 domains over the audit cycle.
2. Confirm the audit plan defines scope, timing, resource requirements, and audit methodology for each planned engagement.
3. Verify that the audit plan prioritises high-risk areas including trading systems, algorithmic trading controls, cybersecurity, and third-party risk management.
4. Assess whether the audit plan is reviewed and refreshed at least annually or when the risk profile materially changes.</t>
        </is>
      </c>
      <c r="E58" s="11" t="inlineStr">
        <is>
          <t>Current technology audit plan; Risk-based prioritisation methodology; SC-GL/6-2023 domain coverage mapping for the audit cycle; Audit plan approval by the audit committee</t>
        </is>
      </c>
      <c r="F58" s="25" t="inlineStr">
        <is>
          <t>Inspection</t>
        </is>
      </c>
      <c r="G58" s="26" t="inlineStr"/>
      <c r="H58" s="26" t="inlineStr"/>
      <c r="I58" s="26" t="inlineStr"/>
      <c r="J58" s="26" t="inlineStr"/>
      <c r="K58" s="26" t="inlineStr"/>
      <c r="L58" s="26" t="inlineStr"/>
      <c r="M58">
        <f>IF(K58="Compliant",3,IF(K58="Partially Compliant",2,IF(K58="Non-Compliant",1,"")))</f>
        <v/>
      </c>
    </row>
    <row r="59" ht="120" customHeight="1">
      <c r="A59" s="27" t="inlineStr">
        <is>
          <t>GRA-8</t>
        </is>
      </c>
      <c r="B59" s="28" t="inlineStr">
        <is>
          <t>Technology Audit Programme</t>
        </is>
      </c>
      <c r="C59" s="28" t="inlineStr">
        <is>
          <t>Auditor qualifications &amp; independence</t>
        </is>
      </c>
      <c r="D59" s="28" t="inlineStr">
        <is>
          <t>1. Review the qualifications and experience of technology auditors (internal or external) assigned to the programme.
2. Verify auditors hold relevant certifications (e.g., CISA, CISSP, CRISC) and have experience with capital market technology environments.
3. Confirm auditor independence — technology auditors should not have operational responsibilities for the systems they audit.
4. Where external auditors are engaged, verify the selection process considered capital market industry experience and the firm's independence.</t>
        </is>
      </c>
      <c r="E59" s="28" t="inlineStr">
        <is>
          <t>Auditor profiles with qualifications and certifications; Independence declarations; Capital market experience evidence; External auditor selection documentation (if applicable)</t>
        </is>
      </c>
      <c r="F59" s="29" t="inlineStr">
        <is>
          <t>Inspection</t>
        </is>
      </c>
      <c r="G59" s="26" t="inlineStr"/>
      <c r="H59" s="26" t="inlineStr"/>
      <c r="I59" s="26" t="inlineStr"/>
      <c r="J59" s="26" t="inlineStr"/>
      <c r="K59" s="26" t="inlineStr"/>
      <c r="L59" s="26" t="inlineStr"/>
      <c r="M59">
        <f>IF(K59="Compliant",3,IF(K59="Partially Compliant",2,IF(K59="Non-Compliant",1,"")))</f>
        <v/>
      </c>
    </row>
    <row r="60" ht="120" customHeight="1">
      <c r="A60" s="24" t="inlineStr">
        <is>
          <t>GRA-8</t>
        </is>
      </c>
      <c r="B60" s="11" t="inlineStr">
        <is>
          <t>Technology Audit Programme</t>
        </is>
      </c>
      <c r="C60" s="11" t="inlineStr">
        <is>
          <t>Audit execution &amp; report quality</t>
        </is>
      </c>
      <c r="D60" s="11" t="inlineStr">
        <is>
          <t>1. Review 3 completed technology audit reports from the last 12 months (per sampling methodology).
2. Verify reports contain: clear scope, methodology, detailed findings with risk ratings, root cause analysis, and actionable recommendations.
3. Assess whether audit findings are specific enough to drive remediation — not generic observations that lack actionable detail.
4. Confirm that audit reports reflect capital market-specific risks and controls, not generic IT audit checklists.</t>
        </is>
      </c>
      <c r="E60" s="11" t="inlineStr">
        <is>
          <t>Completed technology audit reports (3, last 12 months per sampling methodology); Audit methodology documentation; Sample findings with risk ratings and recommendations; Evidence of capital market-specific audit scope</t>
        </is>
      </c>
      <c r="F60" s="25" t="inlineStr">
        <is>
          <t>Inspection</t>
        </is>
      </c>
      <c r="G60" s="26" t="inlineStr"/>
      <c r="H60" s="26" t="inlineStr"/>
      <c r="I60" s="26" t="inlineStr"/>
      <c r="J60" s="26" t="inlineStr"/>
      <c r="K60" s="26" t="inlineStr"/>
      <c r="L60" s="26" t="inlineStr"/>
      <c r="M60">
        <f>IF(K60="Compliant",3,IF(K60="Partially Compliant",2,IF(K60="Non-Compliant",1,"")))</f>
        <v/>
      </c>
    </row>
    <row r="61" ht="120" customHeight="1">
      <c r="A61" s="27" t="inlineStr">
        <is>
          <t>GRA-8</t>
        </is>
      </c>
      <c r="B61" s="28" t="inlineStr">
        <is>
          <t>Technology Audit Programme</t>
        </is>
      </c>
      <c r="C61" s="28" t="inlineStr">
        <is>
          <t>Audit committee reporting</t>
        </is>
      </c>
      <c r="D61" s="28" t="inlineStr">
        <is>
          <t>1. Review audit committee minutes from the last 2 meetings to verify technology audit findings are reported and discussed.
2. Confirm the audit committee receives adequate information: finding summaries, risk ratings, management responses, and remediation timelines.
3. Verify that the audit committee has challenged management on overdue findings and remediation progress.
4. Assess whether the audit committee has directed additional audit coverage for emerging risk areas such as algorithmic trading, AI/ML, or cloud services.</t>
        </is>
      </c>
      <c r="E61" s="28" t="inlineStr">
        <is>
          <t>Audit committee minutes (last 2 meetings); Technology audit presentation materials to audit committee; Audit committee directive records; Management response records presented to audit committee</t>
        </is>
      </c>
      <c r="F61" s="29" t="inlineStr">
        <is>
          <t>Inspection</t>
        </is>
      </c>
      <c r="G61" s="26" t="inlineStr"/>
      <c r="H61" s="26" t="inlineStr"/>
      <c r="I61" s="26" t="inlineStr"/>
      <c r="J61" s="26" t="inlineStr"/>
      <c r="K61" s="26" t="inlineStr"/>
      <c r="L61" s="26" t="inlineStr"/>
      <c r="M61">
        <f>IF(K61="Compliant",3,IF(K61="Partially Compliant",2,IF(K61="Non-Compliant",1,"")))</f>
        <v/>
      </c>
    </row>
    <row r="62" ht="120" customHeight="1">
      <c r="A62" s="24" t="inlineStr">
        <is>
          <t>GRA-8</t>
        </is>
      </c>
      <c r="B62" s="11" t="inlineStr">
        <is>
          <t>Technology Audit Programme</t>
        </is>
      </c>
      <c r="C62" s="11" t="inlineStr">
        <is>
          <t>Findings remediation tracking</t>
        </is>
      </c>
      <c r="D62" s="11" t="inlineStr">
        <is>
          <t>1. Obtain the audit findings remediation tracker.
2. Select a sample of 10 findings (per sampling methodology) and verify each is assigned to an owner, has a target remediation date, and is tracked through to closure.
3. Calculate the percentage of findings currently overdue and assess the ageing profile.
4. Verify that overdue findings are escalated to senior management and the audit committee with clear accountability.
5. Confirm that remediated findings are validated (re-tested or evidence reviewed) before closure — not simply closed on management assertion.</t>
        </is>
      </c>
      <c r="E62" s="11" t="inlineStr">
        <is>
          <t>Audit findings remediation tracker; Sample of 10 findings (per sampling methodology) with owner, target date, and status; Overdue findings escalation records; Remediation validation evidence for closed findings</t>
        </is>
      </c>
      <c r="F62" s="25" t="inlineStr">
        <is>
          <t>Inspection</t>
        </is>
      </c>
      <c r="G62" s="26" t="inlineStr"/>
      <c r="H62" s="26" t="inlineStr"/>
      <c r="I62" s="26" t="inlineStr"/>
      <c r="J62" s="26" t="inlineStr"/>
      <c r="K62" s="26" t="inlineStr"/>
      <c r="L62" s="26" t="inlineStr"/>
      <c r="M62">
        <f>IF(K62="Compliant",3,IF(K62="Partially Compliant",2,IF(K62="Non-Compliant",1,"")))</f>
        <v/>
      </c>
    </row>
    <row r="63" ht="24" customHeight="1">
      <c r="A63" s="30" t="inlineStr">
        <is>
          <t>GRA-9 — Regulatory Examination Readiness</t>
        </is>
      </c>
    </row>
    <row r="64" ht="72" customHeight="1">
      <c r="A64" s="23" t="inlineStr">
        <is>
          <t>PURPOSE: SC-GL/6-2023 expects capital market intermediaries to be prepared for regulatory examination at any time, maintaining current evidence and demonstrating continuous compliance rather than reactive preparation. This control ensures the entity can respond efficiently to SC examination requests and demonstrate an ongoing compliance posture.
EXPECTATION: The assessor should find a maintained evidence library mapped to SC-GL/6-2023 requirements with current documentation, a self-assessment completed within 12 months, a designated examination response team with tested protocols, tracked remediation of prior examination findings, and evidence of continuous compliance monitoring.
KEY RISK: Poor examination readiness results in delayed and incomplete responses to SC examinations, increasing the risk of adverse regulatory findings, enforcement action, and reputational damage in the capital market.</t>
        </is>
      </c>
    </row>
    <row r="65" ht="120" customHeight="1">
      <c r="A65" s="27" t="inlineStr">
        <is>
          <t>GRA-9</t>
        </is>
      </c>
      <c r="B65" s="28" t="inlineStr">
        <is>
          <t>Regulatory Examination Readiness</t>
        </is>
      </c>
      <c r="C65" s="28" t="inlineStr">
        <is>
          <t>Evidence library &amp; currency</t>
        </is>
      </c>
      <c r="D65" s="28" t="inlineStr">
        <is>
          <t>1. Verify that a standing evidence library is maintained mapping evidence items to SC-GL/6-2023 requirements.
2. Assess the currency of evidence items — confirm that governance documents, reports, test results, and meeting minutes are within their defined refresh periods (e.g., policies within 12 months, minutes within current quarter).
3. Identify any evidence gaps where required documentation does not exist or is stale.
4. Verify that the evidence library is centrally managed with designated custodians responsible for keeping items current.</t>
        </is>
      </c>
      <c r="E65" s="28" t="inlineStr">
        <is>
          <t>Evidence library index mapped to SC-GL/6-2023 requirements; Evidence currency assessment results; Evidence custodian assignments; Evidence gap list (if any)</t>
        </is>
      </c>
      <c r="F65" s="29" t="inlineStr">
        <is>
          <t>Inspection</t>
        </is>
      </c>
      <c r="G65" s="26" t="inlineStr"/>
      <c r="H65" s="26" t="inlineStr"/>
      <c r="I65" s="26" t="inlineStr"/>
      <c r="J65" s="26" t="inlineStr"/>
      <c r="K65" s="26" t="inlineStr"/>
      <c r="L65" s="26" t="inlineStr"/>
      <c r="M65">
        <f>IF(K65="Compliant",3,IF(K65="Partially Compliant",2,IF(K65="Non-Compliant",1,"")))</f>
        <v/>
      </c>
    </row>
    <row r="66" ht="120" customHeight="1">
      <c r="A66" s="24" t="inlineStr">
        <is>
          <t>GRA-9</t>
        </is>
      </c>
      <c r="B66" s="11" t="inlineStr">
        <is>
          <t>Regulatory Examination Readiness</t>
        </is>
      </c>
      <c r="C66" s="11" t="inlineStr">
        <is>
          <t>Self-assessment against SC-GL/6-2023</t>
        </is>
      </c>
      <c r="D66" s="11" t="inlineStr">
        <is>
          <t>1. Obtain the most recent self-assessment against SC-GL/6-2023 guidelines.
2. Verify the self-assessment covers all guideline requirements with an honest assessment of compliance status (fully compliant, partially compliant, non-compliant).
3. Confirm that gaps identified in the self-assessment have remediation plans with assigned owners and target dates.
4. Assess the self-assessment methodology — verify it goes beyond documentation review to include testing of control effectiveness.
5. Confirm the self-assessment was conducted within the last 12 months.</t>
        </is>
      </c>
      <c r="E66" s="11" t="inlineStr">
        <is>
          <t>Self-assessment report against SC-GL/6-2023; Self-assessment methodology document; Gap remediation plan with owners and target dates; Self-assessment completion date evidence</t>
        </is>
      </c>
      <c r="F66" s="25" t="inlineStr">
        <is>
          <t>Inspection</t>
        </is>
      </c>
      <c r="G66" s="26" t="inlineStr"/>
      <c r="H66" s="26" t="inlineStr"/>
      <c r="I66" s="26" t="inlineStr"/>
      <c r="J66" s="26" t="inlineStr"/>
      <c r="K66" s="26" t="inlineStr"/>
      <c r="L66" s="26" t="inlineStr"/>
      <c r="M66">
        <f>IF(K66="Compliant",3,IF(K66="Partially Compliant",2,IF(K66="Non-Compliant",1,"")))</f>
        <v/>
      </c>
    </row>
    <row r="67" ht="120" customHeight="1">
      <c r="A67" s="27" t="inlineStr">
        <is>
          <t>GRA-9</t>
        </is>
      </c>
      <c r="B67" s="28" t="inlineStr">
        <is>
          <t>Regulatory Examination Readiness</t>
        </is>
      </c>
      <c r="C67" s="28" t="inlineStr">
        <is>
          <t>Examination response team &amp; protocols</t>
        </is>
      </c>
      <c r="D67" s="28" t="inlineStr">
        <is>
          <t>1. Review the examination response team composition and verify it includes designated contact persons from compliance, CISO function, IT, and business units.
2. Verify that examination response protocols exist covering: document production procedures, interview coordination, information request management, and confidentiality handling.
3. Confirm contact details for the response team are current and the team has conducted at least one readiness exercise in the last 12 months.
4. Assess whether the entity can produce evidence for all SC-GL/6-2023 requirements within the expected regulatory examination response timeline.</t>
        </is>
      </c>
      <c r="E67" s="28" t="inlineStr">
        <is>
          <t>Examination response team roster with roles and contact details; Examination response protocol document; Readiness exercise records (last 12 months); Evidence production timeline assessment</t>
        </is>
      </c>
      <c r="F67" s="29" t="inlineStr">
        <is>
          <t>Inspection / Inquiry</t>
        </is>
      </c>
      <c r="G67" s="26" t="inlineStr"/>
      <c r="H67" s="26" t="inlineStr"/>
      <c r="I67" s="26" t="inlineStr"/>
      <c r="J67" s="26" t="inlineStr"/>
      <c r="K67" s="26" t="inlineStr"/>
      <c r="L67" s="26" t="inlineStr"/>
      <c r="M67">
        <f>IF(K67="Compliant",3,IF(K67="Partially Compliant",2,IF(K67="Non-Compliant",1,"")))</f>
        <v/>
      </c>
    </row>
    <row r="68" ht="120" customHeight="1">
      <c r="A68" s="24" t="inlineStr">
        <is>
          <t>GRA-9</t>
        </is>
      </c>
      <c r="B68" s="11" t="inlineStr">
        <is>
          <t>Regulatory Examination Readiness</t>
        </is>
      </c>
      <c r="C68" s="11" t="inlineStr">
        <is>
          <t>Prior examination finding remediation</t>
        </is>
      </c>
      <c r="D68" s="11" t="inlineStr">
        <is>
          <t>1. Obtain the tracker for prior SC examination findings (if any examinations have been conducted).
2. Verify that all findings from the most recent examination have been assigned owners and remediation plans.
3. Confirm that remediated findings have evidence of closure and validation.
4. Identify any findings that remain open and assess whether they are being actively managed with the SC's expectations addressed.
5. Where no prior examination has occurred, verify the entity has proactively identified and addressed likely examination focus areas through self-assessment.</t>
        </is>
      </c>
      <c r="E68" s="11" t="inlineStr">
        <is>
          <t>Prior SC examination finding tracker; Remediation evidence for closed findings; Open finding management records; SC communication records regarding finding remediation (if applicable); Self-assessment as proxy if no prior examination</t>
        </is>
      </c>
      <c r="F68" s="25" t="inlineStr">
        <is>
          <t>Inspection</t>
        </is>
      </c>
      <c r="G68" s="26" t="inlineStr"/>
      <c r="H68" s="26" t="inlineStr"/>
      <c r="I68" s="26" t="inlineStr"/>
      <c r="J68" s="26" t="inlineStr"/>
      <c r="K68" s="26" t="inlineStr"/>
      <c r="L68" s="26" t="inlineStr"/>
      <c r="M68">
        <f>IF(K68="Compliant",3,IF(K68="Partially Compliant",2,IF(K68="Non-Compliant",1,"")))</f>
        <v/>
      </c>
    </row>
    <row r="69" ht="120" customHeight="1">
      <c r="A69" s="27" t="inlineStr">
        <is>
          <t>GRA-9</t>
        </is>
      </c>
      <c r="B69" s="28" t="inlineStr">
        <is>
          <t>Regulatory Examination Readiness</t>
        </is>
      </c>
      <c r="C69" s="28" t="inlineStr">
        <is>
          <t>Continuous compliance monitoring</t>
        </is>
      </c>
      <c r="D69" s="28" t="inlineStr">
        <is>
          <t>1. Assess whether the entity monitors compliance with SC-GL/6-2023 on an ongoing basis rather than only preparing for examinations.
2. Review evidence of regular compliance monitoring activities (e.g., quarterly compliance checks, automated control testing, exception reporting).
3. Verify that SC advisories, updates, and new guidance are tracked and assessed for impact on the entity's compliance posture.
4. Interview Compliance or the CISO to understand the process for maintaining compliance between formal self-assessments and how emerging regulatory changes are incorporated.</t>
        </is>
      </c>
      <c r="E69" s="28" t="inlineStr">
        <is>
          <t>Compliance monitoring schedule and records; SC advisory tracking log; Compliance exception reports (last 2 quarters); Compliance/CISO interview notes on ongoing monitoring approach</t>
        </is>
      </c>
      <c r="F69" s="29" t="inlineStr">
        <is>
          <t>Inspection / Inquiry</t>
        </is>
      </c>
      <c r="G69" s="26" t="inlineStr"/>
      <c r="H69" s="26" t="inlineStr"/>
      <c r="I69" s="26" t="inlineStr"/>
      <c r="J69" s="26" t="inlineStr"/>
      <c r="K69" s="26" t="inlineStr"/>
      <c r="L69" s="26" t="inlineStr"/>
      <c r="M69">
        <f>IF(K69="Compliant",3,IF(K69="Partially Compliant",2,IF(K69="Non-Compliant",1,"")))</f>
        <v/>
      </c>
    </row>
    <row r="70" ht="24" customHeight="1">
      <c r="A70" s="30" t="inlineStr">
        <is>
          <t>GRA-10 — Penetration Testing Programme</t>
        </is>
      </c>
    </row>
    <row r="71" ht="72" customHeight="1">
      <c r="A71" s="23" t="inlineStr">
        <is>
          <t>PURPOSE: SC-GL/6-2023 requires capital market intermediaries to conduct regular penetration testing of their technology environment by qualified, independent testers. This provides an adversarial assessment of the security posture beyond what vulnerability scanning and self-assessment can reveal.
EXPECTATION: The assessor should find annual penetration testing covering critical capital market systems (trading, settlement, client portals, exchange connectivity), conducted by qualified independent testers with capital market experience. Findings should be tracked with defined remediation SLAs, critical and high findings re-tested after remediation, and results reported to the board audit committee with trend analysis.
KEY RISK: Without regular penetration testing, exploitable vulnerabilities in trading platforms, client-facing systems, and exchange connectivity may remain undetected, creating attack vectors for threat actors targeting capital market infrastructure.</t>
        </is>
      </c>
    </row>
    <row r="72" ht="120" customHeight="1">
      <c r="A72" s="24" t="inlineStr">
        <is>
          <t>GRA-10</t>
        </is>
      </c>
      <c r="B72" s="11" t="inlineStr">
        <is>
          <t>Penetration Testing Programme</t>
        </is>
      </c>
      <c r="C72" s="11" t="inlineStr">
        <is>
          <t>Testing scope &amp; frequency</t>
        </is>
      </c>
      <c r="D72" s="11" t="inlineStr">
        <is>
          <t>1. Obtain the penetration testing policy or terms of reference and verify it defines testing frequency (at minimum annually) and scope requirements.
2. Confirm the scope of the most recent penetration test covers critical capital market systems: trading platforms, client portals, market data interfaces, settlement system connectivity, and internet-facing applications.
3. Verify that the testing scope includes both external and internal testing perspectives.
4. Assess whether the scope addresses application-layer testing in addition to infrastructure testing, particularly for client-facing web and mobile platforms.</t>
        </is>
      </c>
      <c r="E72" s="11" t="inlineStr">
        <is>
          <t>Penetration testing policy or terms of reference; Most recent penetration test scope document; Scope coverage mapping against critical capital market systems; Evidence of external and internal testing perspectives</t>
        </is>
      </c>
      <c r="F72" s="25" t="inlineStr">
        <is>
          <t>Inspection</t>
        </is>
      </c>
      <c r="G72" s="26" t="inlineStr"/>
      <c r="H72" s="26" t="inlineStr"/>
      <c r="I72" s="26" t="inlineStr"/>
      <c r="J72" s="26" t="inlineStr"/>
      <c r="K72" s="26" t="inlineStr"/>
      <c r="L72" s="26" t="inlineStr"/>
      <c r="M72">
        <f>IF(K72="Compliant",3,IF(K72="Partially Compliant",2,IF(K72="Non-Compliant",1,"")))</f>
        <v/>
      </c>
    </row>
    <row r="73" ht="120" customHeight="1">
      <c r="A73" s="27" t="inlineStr">
        <is>
          <t>GRA-10</t>
        </is>
      </c>
      <c r="B73" s="28" t="inlineStr">
        <is>
          <t>Penetration Testing Programme</t>
        </is>
      </c>
      <c r="C73" s="28" t="inlineStr">
        <is>
          <t>Tester qualifications &amp; independence</t>
        </is>
      </c>
      <c r="D73" s="28" t="inlineStr">
        <is>
          <t>1. Review the qualifications and certifications of penetration testers engaged (e.g., OSCP, CREST CRT, GPEN).
2. Verify that testers are independent from the entity — not employees or the same firm that implemented the systems being tested.
3. Confirm the selection process considered the testing firm's experience with capital market environments and regulated financial entities.
4. Review the engagement terms to verify they include appropriate confidentiality protections for market-sensitive information and client data encountered during testing.</t>
        </is>
      </c>
      <c r="E73" s="28" t="inlineStr">
        <is>
          <t>Penetration tester profiles with certifications; Independence verification (not the implementation vendor); Engagement terms with confidentiality provisions; Selection criteria including capital market experience</t>
        </is>
      </c>
      <c r="F73" s="29" t="inlineStr">
        <is>
          <t>Inspection</t>
        </is>
      </c>
      <c r="G73" s="26" t="inlineStr"/>
      <c r="H73" s="26" t="inlineStr"/>
      <c r="I73" s="26" t="inlineStr"/>
      <c r="J73" s="26" t="inlineStr"/>
      <c r="K73" s="26" t="inlineStr"/>
      <c r="L73" s="26" t="inlineStr"/>
      <c r="M73">
        <f>IF(K73="Compliant",3,IF(K73="Partially Compliant",2,IF(K73="Non-Compliant",1,"")))</f>
        <v/>
      </c>
    </row>
    <row r="74" ht="120" customHeight="1">
      <c r="A74" s="24" t="inlineStr">
        <is>
          <t>GRA-10</t>
        </is>
      </c>
      <c r="B74" s="11" t="inlineStr">
        <is>
          <t>Penetration Testing Programme</t>
        </is>
      </c>
      <c r="C74" s="11" t="inlineStr">
        <is>
          <t>Findings remediation &amp; re-testing</t>
        </is>
      </c>
      <c r="D74" s="11" t="inlineStr">
        <is>
          <t>1. Obtain the penetration testing findings tracker from the most recent test.
2. Verify that critical and high findings have defined remediation SLAs and are being tracked to closure within those SLAs.
3. Confirm that remediated critical and high findings are re-tested by the penetration tester to verify effective resolution — not closed on management assertion alone.
4. Review any findings that exceeded the remediation SLA and assess whether appropriate risk acceptance was documented and approved at the right authority level.</t>
        </is>
      </c>
      <c r="E74" s="11" t="inlineStr">
        <is>
          <t>Penetration test findings tracker with SLAs; Remediation status for critical and high findings; Re-testing evidence from penetration tester confirming resolution; Risk acceptance records for overdue findings (if any)</t>
        </is>
      </c>
      <c r="F74" s="25" t="inlineStr">
        <is>
          <t>Inspection</t>
        </is>
      </c>
      <c r="G74" s="26" t="inlineStr"/>
      <c r="H74" s="26" t="inlineStr"/>
      <c r="I74" s="26" t="inlineStr"/>
      <c r="J74" s="26" t="inlineStr"/>
      <c r="K74" s="26" t="inlineStr"/>
      <c r="L74" s="26" t="inlineStr"/>
      <c r="M74">
        <f>IF(K74="Compliant",3,IF(K74="Partially Compliant",2,IF(K74="Non-Compliant",1,"")))</f>
        <v/>
      </c>
    </row>
    <row r="75" ht="120" customHeight="1">
      <c r="A75" s="27" t="inlineStr">
        <is>
          <t>GRA-10</t>
        </is>
      </c>
      <c r="B75" s="28" t="inlineStr">
        <is>
          <t>Penetration Testing Programme</t>
        </is>
      </c>
      <c r="C75" s="28" t="inlineStr">
        <is>
          <t>Board reporting &amp; trend analysis</t>
        </is>
      </c>
      <c r="D75" s="28" t="inlineStr">
        <is>
          <t>1. Verify that penetration testing results are reported to the board audit committee.
2. Review the board reporting to confirm it includes: summary of findings by severity, remediation status, and trend analysis compared to prior years.
3. Assess whether the board is provided with sufficient context to understand the risk implications — not just raw finding counts.
4. Confirm that year-over-year trend analysis identifies whether the entity's security posture is improving, stable, or deteriorating based on penetration testing results.</t>
        </is>
      </c>
      <c r="E75" s="28" t="inlineStr">
        <is>
          <t>Audit committee minutes recording penetration test reporting; Penetration test summary report presented to audit committee; Year-over-year trend analysis; Board-level risk context narrative accompanying findings data</t>
        </is>
      </c>
      <c r="F75" s="29" t="inlineStr">
        <is>
          <t>Inspection</t>
        </is>
      </c>
      <c r="G75" s="26" t="inlineStr"/>
      <c r="H75" s="26" t="inlineStr"/>
      <c r="I75" s="26" t="inlineStr"/>
      <c r="J75" s="26" t="inlineStr"/>
      <c r="K75" s="26" t="inlineStr"/>
      <c r="L75" s="26" t="inlineStr"/>
      <c r="M75">
        <f>IF(K75="Compliant",3,IF(K75="Partially Compliant",2,IF(K75="Non-Compliant",1,"")))</f>
        <v/>
      </c>
    </row>
    <row r="77" ht="28" customHeight="1">
      <c r="A77" s="31" t="inlineStr">
        <is>
          <t>This work program is constructed for educational purposes. Customise for your engagement. Not legal or regulatory advice. AI-generated content — review and validate before use.</t>
        </is>
      </c>
    </row>
  </sheetData>
  <autoFilter ref="A1:L1"/>
  <mergeCells count="21">
    <mergeCell ref="A41:L41"/>
    <mergeCell ref="A18:L18"/>
    <mergeCell ref="A27:L27"/>
    <mergeCell ref="A56:L56"/>
    <mergeCell ref="A3:L3"/>
    <mergeCell ref="A50:L50"/>
    <mergeCell ref="A57:L57"/>
    <mergeCell ref="A2:L2"/>
    <mergeCell ref="A42:L42"/>
    <mergeCell ref="A71:L71"/>
    <mergeCell ref="A17:L17"/>
    <mergeCell ref="A35:L35"/>
    <mergeCell ref="A10:L10"/>
    <mergeCell ref="A63:L63"/>
    <mergeCell ref="A28:L28"/>
    <mergeCell ref="A77:L77"/>
    <mergeCell ref="A34:L34"/>
    <mergeCell ref="A64:L64"/>
    <mergeCell ref="A11:L11"/>
    <mergeCell ref="A49:L49"/>
    <mergeCell ref="A70:L70"/>
  </mergeCells>
  <dataValidations count="1">
    <dataValidation sqref="K4 K5 K6 K7 K8 K9 K12 K13 K14 K15 K16 K19 K20 K21 K22 K23 K24 K25 K26 K29 K30 K31 K32 K33 K36 K37 K38 K39 K40 K43 K44 K45 K46 K47 K48 K51 K52 K53 K54 K55 K58 K59 K60 K61 K62 K65 K66 K67 K68 K69 K72 K73 K74 K75" showDropDown="0" showInputMessage="0" showErrorMessage="0" allowBlank="1" errorTitle="Invalid Conclusion" error="Please select a valid conclusion" promptTitle="Conclusion" prompt="Select the assessment conclusion" type="list">
      <formula1>"Compliant,Partially Compliant,Non-Compliant,N/A"</formula1>
    </dataValidation>
  </dataValidations>
  <pageMargins left="0.75" right="0.75" top="1" bottom="1" header="0.5" footer="0.5"/>
</worksheet>
</file>

<file path=xl/worksheets/sheet3.xml><?xml version="1.0" encoding="utf-8"?>
<worksheet xmlns="http://schemas.openxmlformats.org/spreadsheetml/2006/main">
  <sheetPr>
    <tabColor rgb="00C0392B"/>
    <outlinePr summaryBelow="1" summaryRight="1"/>
    <pageSetUpPr/>
  </sheetPr>
  <dimension ref="A1:M38"/>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4" customWidth="1" min="3" max="3"/>
    <col width="48" customWidth="1" min="4" max="4"/>
    <col width="36" customWidth="1" min="5" max="5"/>
    <col width="14" customWidth="1" min="6" max="6"/>
    <col width="30" customWidth="1" min="7" max="7"/>
    <col width="24" customWidth="1" min="8" max="8"/>
    <col width="12" customWidth="1" min="9" max="9"/>
    <col width="30" customWidth="1" min="10" max="10"/>
    <col width="14" customWidth="1" min="11" max="11"/>
    <col width="30" customWidth="1" min="12" max="12"/>
    <col hidden="1" width="13" customWidth="1" min="13" max="13"/>
  </cols>
  <sheetData>
    <row r="1" ht="28" customHeight="1">
      <c r="A1" s="20" t="inlineStr">
        <is>
          <t>Ref</t>
        </is>
      </c>
      <c r="B1" s="20" t="inlineStr">
        <is>
          <t>Control</t>
        </is>
      </c>
      <c r="C1" s="20" t="inlineStr">
        <is>
          <t>Sub-Procedure</t>
        </is>
      </c>
      <c r="D1" s="20" t="inlineStr">
        <is>
          <t>Assessment Procedures</t>
        </is>
      </c>
      <c r="E1" s="20" t="inlineStr">
        <is>
          <t>Expected Evidence</t>
        </is>
      </c>
      <c r="F1" s="20" t="inlineStr">
        <is>
          <t>Method</t>
        </is>
      </c>
      <c r="G1" s="20" t="inlineStr">
        <is>
          <t>Procedures Performed</t>
        </is>
      </c>
      <c r="H1" s="20" t="inlineStr">
        <is>
          <t>Evidence Obtained</t>
        </is>
      </c>
      <c r="I1" s="20" t="inlineStr">
        <is>
          <t>Evidence Ref</t>
        </is>
      </c>
      <c r="J1" s="20" t="inlineStr">
        <is>
          <t>Observation / Findings</t>
        </is>
      </c>
      <c r="K1" s="20" t="inlineStr">
        <is>
          <t>Conclusion</t>
        </is>
      </c>
      <c r="L1" s="20" t="inlineStr">
        <is>
          <t>Recommendations</t>
        </is>
      </c>
      <c r="M1" s="21" t="inlineStr">
        <is>
          <t>Score</t>
        </is>
      </c>
    </row>
    <row r="2" ht="24" customHeight="1">
      <c r="A2" s="30" t="inlineStr">
        <is>
          <t>CYB-1 — Cyber Threat Management</t>
        </is>
      </c>
    </row>
    <row r="3" ht="72" customHeight="1">
      <c r="A3" s="23" t="inlineStr">
        <is>
          <t>PURPOSE: SC-GL/6-2023 requires capital market intermediaries to maintain a proactive cyber threat management capability that identifies, assesses, and responds to threats targeting capital market operations. This ensures the entity operates with current threat awareness rather than relying solely on reactive defences.
EXPECTATION: The assessor should find an active threat intelligence programme with feeds relevant to the capital market sector (including MyCERT and SC advisories), periodic threat assessments covering capital market-specific scenarios, documented threat hunting activity, participation in industry information-sharing initiatives, and regular threat landscape reporting to the board with actionable recommendations.
KEY RISK: Without effective cyber threat management, the intermediary operates blind to evolving threats targeting trading systems, market data infrastructure, and client assets, increasing the likelihood of a successful attack that disrupts market operations or compromises client data.</t>
        </is>
      </c>
    </row>
    <row r="4" ht="120" customHeight="1">
      <c r="A4" s="24" t="inlineStr">
        <is>
          <t>CYB-1</t>
        </is>
      </c>
      <c r="B4" s="11" t="inlineStr">
        <is>
          <t>Cyber Threat Management</t>
        </is>
      </c>
      <c r="C4" s="11" t="inlineStr">
        <is>
          <t>Threat intelligence programme</t>
        </is>
      </c>
      <c r="D4" s="11" t="inlineStr">
        <is>
          <t>1. Obtain documentation of the threat intelligence programme, including subscribed feeds (government, commercial, industry) and verify each feed is active with current subscriptions.
2. Verify that subscribed feeds include sources relevant to capital market threats (e.g., MyCERT, SC Malaysia advisories, FS-ISAC, commercial CTI providers covering APAC financial sector).
3. Review the feed ingestion process and confirm threat intelligence is parsed, triaged, and routed to SOC analysts within defined SLAs.
4. Inspect a sample of 5 threat intelligence items (per sampling methodology) received in the last 6 months and trace each from ingestion through assessment to action taken (e.g., IOC deployment, detection rule creation, patch prioritisation).</t>
        </is>
      </c>
      <c r="E4" s="11" t="inlineStr">
        <is>
          <t>Threat intelligence programme charter or procedure document; list of subscribed CTI feeds with subscription confirmations; sample threat intelligence triage records (5 items, last 6 months per sampling methodology); IOC deployment logs</t>
        </is>
      </c>
      <c r="F4" s="25" t="inlineStr">
        <is>
          <t>Inspection / Inquiry</t>
        </is>
      </c>
      <c r="G4" s="26" t="inlineStr"/>
      <c r="H4" s="26" t="inlineStr"/>
      <c r="I4" s="26" t="inlineStr"/>
      <c r="J4" s="26" t="inlineStr"/>
      <c r="K4" s="26" t="inlineStr"/>
      <c r="L4" s="26" t="inlineStr"/>
      <c r="M4">
        <f>IF(K4="Compliant",3,IF(K4="Partially Compliant",2,IF(K4="Non-Compliant",1,"")))</f>
        <v/>
      </c>
    </row>
    <row r="5" ht="120" customHeight="1">
      <c r="A5" s="27" t="inlineStr">
        <is>
          <t>CYB-1</t>
        </is>
      </c>
      <c r="B5" s="28" t="inlineStr">
        <is>
          <t>Cyber Threat Management</t>
        </is>
      </c>
      <c r="C5" s="28" t="inlineStr">
        <is>
          <t>Capital market threat assessment</t>
        </is>
      </c>
      <c r="D5" s="28" t="inlineStr">
        <is>
          <t>1. Obtain the last 2 periodic threat assessment reports (covering the last 12 months per sampling methodology) and verify they address capital market-specific threat scenarios.
2. Confirm assessments cover relevant threat categories: trading system attacks, market data manipulation, DDoS against exchange connectivity, ransomware targeting settlement infrastructure, insider trading facilitation, and state-sponsored threats to financial markets.
3. Verify threat assessments reference the entity's specific technology footprint (trading platforms, OMS/EMS, market data feeds, Bursa Malaysia connectivity).
4. Review how threat assessment findings have been translated into updated risk ratings or control priorities in the technology risk register.</t>
        </is>
      </c>
      <c r="E5" s="28" t="inlineStr">
        <is>
          <t>Periodic threat assessment reports (last 2 cycles); technology risk register with threat-driven updates; threat scenario documentation referencing capital market systems</t>
        </is>
      </c>
      <c r="F5" s="29" t="inlineStr">
        <is>
          <t>Inspection</t>
        </is>
      </c>
      <c r="G5" s="26" t="inlineStr"/>
      <c r="H5" s="26" t="inlineStr"/>
      <c r="I5" s="26" t="inlineStr"/>
      <c r="J5" s="26" t="inlineStr"/>
      <c r="K5" s="26" t="inlineStr"/>
      <c r="L5" s="26" t="inlineStr"/>
      <c r="M5">
        <f>IF(K5="Compliant",3,IF(K5="Partially Compliant",2,IF(K5="Non-Compliant",1,"")))</f>
        <v/>
      </c>
    </row>
    <row r="6" ht="120" customHeight="1">
      <c r="A6" s="24" t="inlineStr">
        <is>
          <t>CYB-1</t>
        </is>
      </c>
      <c r="B6" s="11" t="inlineStr">
        <is>
          <t>Cyber Threat Management</t>
        </is>
      </c>
      <c r="C6" s="11" t="inlineStr">
        <is>
          <t>Threat hunting capability</t>
        </is>
      </c>
      <c r="D6" s="11" t="inlineStr">
        <is>
          <t>1. Interview threat hunting personnel (or SOC analysts performing hunting duties) to understand hunting methodology, tools, and frequency.
2. Obtain threat hunting reports or logs from the last 12 months (per sampling methodology) and verify at least 3 proactive hunts were conducted (per sampling methodology).
3. Review hunting hypotheses to confirm they target advanced persistent threats relevant to capital market intermediaries (e.g., credential theft targeting trading systems, lateral movement toward settlement infrastructure, data exfiltration of client positions).
4. Determine whether hunting findings have resulted in new detection rules, IOC updates, or control improvements.
5. Verify that threat hunting covers algorithmic trading infrastructure and market data feed systems, not just generic enterprise IT.</t>
        </is>
      </c>
      <c r="E6" s="11" t="inlineStr">
        <is>
          <t>Threat hunting reports (last 12 months per sampling methodology); hunting hypothesis documentation; new detection rules created from hunting findings; threat hunting tools inventory</t>
        </is>
      </c>
      <c r="F6" s="25" t="inlineStr">
        <is>
          <t>Inspection / Inquiry</t>
        </is>
      </c>
      <c r="G6" s="26" t="inlineStr"/>
      <c r="H6" s="26" t="inlineStr"/>
      <c r="I6" s="26" t="inlineStr"/>
      <c r="J6" s="26" t="inlineStr"/>
      <c r="K6" s="26" t="inlineStr"/>
      <c r="L6" s="26" t="inlineStr"/>
      <c r="M6">
        <f>IF(K6="Compliant",3,IF(K6="Partially Compliant",2,IF(K6="Non-Compliant",1,"")))</f>
        <v/>
      </c>
    </row>
    <row r="7" ht="120" customHeight="1">
      <c r="A7" s="27" t="inlineStr">
        <is>
          <t>CYB-1</t>
        </is>
      </c>
      <c r="B7" s="28" t="inlineStr">
        <is>
          <t>Cyber Threat Management</t>
        </is>
      </c>
      <c r="C7" s="28" t="inlineStr">
        <is>
          <t>Threat information sharing</t>
        </is>
      </c>
      <c r="D7" s="28" t="inlineStr">
        <is>
          <t>1. Obtain evidence of participation in SC Malaysia threat information sharing initiatives, MyCERT coordination, and any capital market industry working groups or ISACs.
2. Review records of threat intelligence shared with and received from peer institutions, regulators, and industry bodies over the last 12 months.
3. Verify the entity has designated contacts and defined procedures for receiving and acting on SC advisories and MyCERT alerts.
4. Confirm participation records show active engagement (not merely membership) through meeting attendance, intelligence contributions, or exercise participation.</t>
        </is>
      </c>
      <c r="E7" s="28" t="inlineStr">
        <is>
          <t>SC advisory distribution and acknowledgement records; MyCERT coordination records; ISAC or working group membership and attendance records (last 12 months); evidence of intelligence contributions shared externally</t>
        </is>
      </c>
      <c r="F7" s="29" t="inlineStr">
        <is>
          <t>Inspection / Inquiry</t>
        </is>
      </c>
      <c r="G7" s="26" t="inlineStr"/>
      <c r="H7" s="26" t="inlineStr"/>
      <c r="I7" s="26" t="inlineStr"/>
      <c r="J7" s="26" t="inlineStr"/>
      <c r="K7" s="26" t="inlineStr"/>
      <c r="L7" s="26" t="inlineStr"/>
      <c r="M7">
        <f>IF(K7="Compliant",3,IF(K7="Partially Compliant",2,IF(K7="Non-Compliant",1,"")))</f>
        <v/>
      </c>
    </row>
    <row r="8" ht="120" customHeight="1">
      <c r="A8" s="24" t="inlineStr">
        <is>
          <t>CYB-1</t>
        </is>
      </c>
      <c r="B8" s="11" t="inlineStr">
        <is>
          <t>Cyber Threat Management</t>
        </is>
      </c>
      <c r="C8" s="11" t="inlineStr">
        <is>
          <t>Threat landscape reporting</t>
        </is>
      </c>
      <c r="D8" s="11" t="inlineStr">
        <is>
          <t>1. Obtain threat landscape reports or briefings provided to senior management and the board over the last 4 quarters.
2. Verify reports cover emerging threats to the capital market sector, threat actor trends (nation-state, organised crime, hacktivists), and specific risks to the entity's market operations.
3. Confirm reports include actionable recommendations and track implementation status of previously recommended actions.
4. Review whether threat landscape reporting has triggered any out-of-cycle risk assessments, budget requests, or control enhancements.</t>
        </is>
      </c>
      <c r="E8" s="11" t="inlineStr">
        <is>
          <t>Quarterly threat landscape reports or board briefing slides (last 4 quarters); board/committee meeting minutes noting threat briefing discussions; action item tracking from threat briefings</t>
        </is>
      </c>
      <c r="F8" s="25" t="inlineStr">
        <is>
          <t>Inspection</t>
        </is>
      </c>
      <c r="G8" s="26" t="inlineStr"/>
      <c r="H8" s="26" t="inlineStr"/>
      <c r="I8" s="26" t="inlineStr"/>
      <c r="J8" s="26" t="inlineStr"/>
      <c r="K8" s="26" t="inlineStr"/>
      <c r="L8" s="26" t="inlineStr"/>
      <c r="M8">
        <f>IF(K8="Compliant",3,IF(K8="Partially Compliant",2,IF(K8="Non-Compliant",1,"")))</f>
        <v/>
      </c>
    </row>
    <row r="9" ht="120" customHeight="1">
      <c r="A9" s="27" t="inlineStr">
        <is>
          <t>CYB-1</t>
        </is>
      </c>
      <c r="B9" s="28" t="inlineStr">
        <is>
          <t>Cyber Threat Management</t>
        </is>
      </c>
      <c r="C9" s="28" t="inlineStr">
        <is>
          <t>Threat-driven control updates</t>
        </is>
      </c>
      <c r="D9" s="28" t="inlineStr">
        <is>
          <t>1. Select a sample of 3 significant threat intelligence items or threat assessment findings from the last 12 months (per sampling methodology) and trace each to corresponding control updates.
2. Verify the process from threat identification to control update follows a defined workflow with documented approvals and timelines.
3. Review examples of control updates driven by threat intelligence (e.g., new firewall rules, updated detection signatures, additional access restrictions on trading systems, patching prioritisation changes).
4. Confirm that a feedback loop exists where control effectiveness is re-assessed after threat-driven changes are implemented.</t>
        </is>
      </c>
      <c r="E9" s="28" t="inlineStr">
        <is>
          <t>Change records linked to threat intelligence triggers; detection rule update logs; firewall change requests referencing threat intelligence; post-implementation verification records</t>
        </is>
      </c>
      <c r="F9" s="29" t="inlineStr">
        <is>
          <t>Inspection</t>
        </is>
      </c>
      <c r="G9" s="26" t="inlineStr"/>
      <c r="H9" s="26" t="inlineStr"/>
      <c r="I9" s="26" t="inlineStr"/>
      <c r="J9" s="26" t="inlineStr"/>
      <c r="K9" s="26" t="inlineStr"/>
      <c r="L9" s="26" t="inlineStr"/>
      <c r="M9">
        <f>IF(K9="Compliant",3,IF(K9="Partially Compliant",2,IF(K9="Non-Compliant",1,"")))</f>
        <v/>
      </c>
    </row>
    <row r="10" ht="24" customHeight="1">
      <c r="A10" s="22" t="inlineStr">
        <is>
          <t>CYB-2 — Security Operations Centre [CRITICAL]</t>
        </is>
      </c>
    </row>
    <row r="11" ht="72" customHeight="1">
      <c r="A11" s="23" t="inlineStr">
        <is>
          <t>PURPOSE: SC-GL/6-2023 requires capital market intermediaries to maintain a security operations centre (SOC) as the primary detection and monitoring capability for cyber threats to capital market systems. The SOC is the frontline defence that detects attacks on trading platforms, settlement systems, and market data infrastructure in real time.
EXPECTATION: The assessor should find a SOC with appropriate architecture and staffing for 24/7 coverage, comprehensive SIEM log source coverage including all critical capital market systems, detection rules tuned for capital market-specific attack patterns, enhanced monitoring during Bursa Malaysia trading hours, documented alert handling with defined SLAs, regular performance metrics reporting, and periodic effectiveness assessments including purple team testing.
KEY RISK: A deficient SOC directly compromises the intermediary's ability to detect and respond to active cyber attacks on trading systems, exchange connectivity, and settlement infrastructure, potentially allowing threat actors extended dwell time to manipulate markets, exfiltrate client data, or disrupt capital market operations.</t>
        </is>
      </c>
    </row>
    <row r="12" ht="120" customHeight="1">
      <c r="A12" s="24" t="inlineStr">
        <is>
          <t>CYB-2</t>
        </is>
      </c>
      <c r="B12" s="11" t="inlineStr">
        <is>
          <t>Security Operations Centre</t>
        </is>
      </c>
      <c r="C12" s="11" t="inlineStr">
        <is>
          <t>SOC deployment and architecture</t>
        </is>
      </c>
      <c r="D12" s="11" t="inlineStr">
        <is>
          <t>1. Obtain the SOC architecture documentation, including deployment model (in-house, MSSP, hybrid) and technology stack (SIEM, SOAR, EDR, NDR).
2. Review the SOC charter or terms of reference defining scope of monitoring, escalation authority, and integration with incident response.
3. Verify the SOC deployment model is appropriate for the entity's scale, with clear contractual obligations if MSSP is used (including SLAs for capital market-specific monitoring).
4. Confirm the SOC has documented runbooks for capital market-specific scenarios (trading system compromise, market data feed disruption, exchange connectivity anomalies, Bursa Malaysia link failure).</t>
        </is>
      </c>
      <c r="E12" s="11" t="inlineStr">
        <is>
          <t>SOC architecture document; SOC charter or terms of reference; MSSP contract with SLAs (if applicable); SOC runbook inventory covering capital market scenarios</t>
        </is>
      </c>
      <c r="F12" s="25" t="inlineStr">
        <is>
          <t>Inspection / Inquiry</t>
        </is>
      </c>
      <c r="G12" s="26" t="inlineStr"/>
      <c r="H12" s="26" t="inlineStr"/>
      <c r="I12" s="26" t="inlineStr"/>
      <c r="J12" s="26" t="inlineStr"/>
      <c r="K12" s="26" t="inlineStr"/>
      <c r="L12" s="26" t="inlineStr"/>
      <c r="M12">
        <f>IF(K12="Compliant",3,IF(K12="Partially Compliant",2,IF(K12="Non-Compliant",1,"")))</f>
        <v/>
      </c>
    </row>
    <row r="13" ht="120" customHeight="1">
      <c r="A13" s="27" t="inlineStr">
        <is>
          <t>CYB-2</t>
        </is>
      </c>
      <c r="B13" s="28" t="inlineStr">
        <is>
          <t>Security Operations Centre</t>
        </is>
      </c>
      <c r="C13" s="28" t="inlineStr">
        <is>
          <t>SIEM log source coverage</t>
        </is>
      </c>
      <c r="D13" s="28" t="inlineStr">
        <is>
          <t>1. Obtain the complete log source inventory feeding into the SIEM and compare against the entity's critical asset register.
2. Verify that all critical capital market systems are included: trading platforms (OMS/EMS), settlement systems, market data feed handlers, Bursa Malaysia connectivity gateways, client portals, algorithmic trading engines, and privileged access management systems.
3. Confirm log ingestion rates are within SIEM capacity and no critical log sources are being dropped or delayed.
4. Review the last log source coverage gap analysis and verify identified gaps have been remediated.
5. Inspect SIEM health dashboards to confirm all critical log sources show active and current data flow.</t>
        </is>
      </c>
      <c r="E13" s="28" t="inlineStr">
        <is>
          <t>SIEM log source inventory; critical asset register cross-reference; SIEM health/ingestion dashboard screenshots; log source coverage gap analysis report</t>
        </is>
      </c>
      <c r="F13" s="29" t="inlineStr">
        <is>
          <t>Inspection</t>
        </is>
      </c>
      <c r="G13" s="26" t="inlineStr"/>
      <c r="H13" s="26" t="inlineStr"/>
      <c r="I13" s="26" t="inlineStr"/>
      <c r="J13" s="26" t="inlineStr"/>
      <c r="K13" s="26" t="inlineStr"/>
      <c r="L13" s="26" t="inlineStr"/>
      <c r="M13">
        <f>IF(K13="Compliant",3,IF(K13="Partially Compliant",2,IF(K13="Non-Compliant",1,"")))</f>
        <v/>
      </c>
    </row>
    <row r="14" ht="120" customHeight="1">
      <c r="A14" s="24" t="inlineStr">
        <is>
          <t>CYB-2</t>
        </is>
      </c>
      <c r="B14" s="11" t="inlineStr">
        <is>
          <t>Security Operations Centre</t>
        </is>
      </c>
      <c r="C14" s="11" t="inlineStr">
        <is>
          <t>Detection rules and use cases</t>
        </is>
      </c>
      <c r="D14" s="11" t="inlineStr">
        <is>
          <t>1. Obtain the SIEM detection rule inventory and verify total rule count, categorisation, and last review date for each rule.
2. Select a sample of 15 detection rules (per sampling methodology for critical-tier controls) and assess whether they are tuned for capital market-specific attack patterns: unusual trading volumes or order patterns, market data manipulation attempts, unauthorised access to trading systems, privileged account abuse on settlement infrastructure, exchange connectivity anomalies.
3. Review the detection engineering process for creating, testing, and deploying new rules, including how false positive rates are managed.
4. Verify that detection rules are updated in response to new threat intelligence, recent incidents, and changes to the technology environment.
5. Confirm that detection rules cover MITRE ATT&amp;CK techniques relevant to financial sector threat actors.</t>
        </is>
      </c>
      <c r="E14" s="11" t="inlineStr">
        <is>
          <t>SIEM detection rule inventory with review dates; sample detection rule configurations (15 rules per sampling methodology); detection engineering change log; false positive tuning records; MITRE ATT&amp;CK coverage mapping</t>
        </is>
      </c>
      <c r="F14" s="25" t="inlineStr">
        <is>
          <t>Inspection / Inquiry</t>
        </is>
      </c>
      <c r="G14" s="26" t="inlineStr"/>
      <c r="H14" s="26" t="inlineStr"/>
      <c r="I14" s="26" t="inlineStr"/>
      <c r="J14" s="26" t="inlineStr"/>
      <c r="K14" s="26" t="inlineStr"/>
      <c r="L14" s="26" t="inlineStr"/>
      <c r="M14">
        <f>IF(K14="Compliant",3,IF(K14="Partially Compliant",2,IF(K14="Non-Compliant",1,"")))</f>
        <v/>
      </c>
    </row>
    <row r="15" ht="120" customHeight="1">
      <c r="A15" s="27" t="inlineStr">
        <is>
          <t>CYB-2</t>
        </is>
      </c>
      <c r="B15" s="28" t="inlineStr">
        <is>
          <t>Security Operations Centre</t>
        </is>
      </c>
      <c r="C15" s="28" t="inlineStr">
        <is>
          <t>Trading hours and after-hours monitoring</t>
        </is>
      </c>
      <c r="D15" s="28" t="inlineStr">
        <is>
          <t>1. Verify 24/7 monitoring coverage by reviewing SOC shift rosters for the last 3 months (per sampling methodology for operational records), confirming continuous staffing or MSSP coverage across all shifts.
2. Confirm that monitoring during Bursa Malaysia trading hours (pre-market, continuous trading, closing) has enhanced alerting thresholds and faster escalation SLAs.
3. Review after-hours monitoring procedures for batch settlement processing, overnight reconciliation runs, and market data feed maintenance windows.
4. Verify that weekend and public holiday monitoring covers scheduled maintenance, DR testing, and any overnight trading activity (e.g., global market exposure).
5. Interview SOC shift leads to confirm awareness of trading calendar, settlement deadlines, and market-critical time windows.</t>
        </is>
      </c>
      <c r="E15" s="28" t="inlineStr">
        <is>
          <t>SOC shift rosters (last 3 months per sampling methodology); trading hours escalation SLA documentation; after-hours monitoring procedures; Bursa Malaysia trading calendar integration evidence; weekend/holiday coverage records</t>
        </is>
      </c>
      <c r="F15" s="29" t="inlineStr">
        <is>
          <t>Inspection / Inquiry</t>
        </is>
      </c>
      <c r="G15" s="26" t="inlineStr"/>
      <c r="H15" s="26" t="inlineStr"/>
      <c r="I15" s="26" t="inlineStr"/>
      <c r="J15" s="26" t="inlineStr"/>
      <c r="K15" s="26" t="inlineStr"/>
      <c r="L15" s="26" t="inlineStr"/>
      <c r="M15">
        <f>IF(K15="Compliant",3,IF(K15="Partially Compliant",2,IF(K15="Non-Compliant",1,"")))</f>
        <v/>
      </c>
    </row>
    <row r="16" ht="120" customHeight="1">
      <c r="A16" s="24" t="inlineStr">
        <is>
          <t>CYB-2</t>
        </is>
      </c>
      <c r="B16" s="11" t="inlineStr">
        <is>
          <t>Security Operations Centre</t>
        </is>
      </c>
      <c r="C16" s="11" t="inlineStr">
        <is>
          <t>Alert handling and triage</t>
        </is>
      </c>
      <c r="D16" s="11" t="inlineStr">
        <is>
          <t>1. Select a sample of 8 security alerts from the last 3 months (per sampling methodology for critical-tier controls) and trace each from initial detection through triage, investigation, and disposition.
2. Verify each alert was triaged within the defined SLA and assigned an appropriate severity based on documented criteria.
3. Confirm that alert disposition is documented (true positive escalated, false positive with tuning action, benign true positive acknowledged).
4. Review alert escalation procedures and verify at least 3 escalated alerts reached the appropriate response team with documented handoff.
5. Determine whether trading system-related alerts receive priority handling compared to general IT alerts.</t>
        </is>
      </c>
      <c r="E16" s="11" t="inlineStr">
        <is>
          <t>Sample alert tickets with full lifecycle (8 alerts per sampling methodology); alert triage SLA compliance report; escalation records with handoff documentation (minimum 3); alert severity classification criteria</t>
        </is>
      </c>
      <c r="F16" s="25" t="inlineStr">
        <is>
          <t>Inspection</t>
        </is>
      </c>
      <c r="G16" s="26" t="inlineStr"/>
      <c r="H16" s="26" t="inlineStr"/>
      <c r="I16" s="26" t="inlineStr"/>
      <c r="J16" s="26" t="inlineStr"/>
      <c r="K16" s="26" t="inlineStr"/>
      <c r="L16" s="26" t="inlineStr"/>
      <c r="M16">
        <f>IF(K16="Compliant",3,IF(K16="Partially Compliant",2,IF(K16="Non-Compliant",1,"")))</f>
        <v/>
      </c>
    </row>
    <row r="17" ht="120" customHeight="1">
      <c r="A17" s="27" t="inlineStr">
        <is>
          <t>CYB-2</t>
        </is>
      </c>
      <c r="B17" s="28" t="inlineStr">
        <is>
          <t>Security Operations Centre</t>
        </is>
      </c>
      <c r="C17" s="28" t="inlineStr">
        <is>
          <t>SOC performance metrics</t>
        </is>
      </c>
      <c r="D17" s="28" t="inlineStr">
        <is>
          <t>1. Obtain SOC performance reports for the last 4 quarters and verify they track key metrics: mean time to detect (MTTD), mean time to respond (MTTR), alert volume trends, false positive rates, and escalation counts.
2. Verify MTTD and MTTR meet defined targets, particularly for critical-severity alerts affecting trading or settlement systems.
3. Review alert volume trends to identify whether volumes are increasing, stable, or decreasing and whether the SOC has adequate capacity.
4. Confirm metrics are reported to CISO and senior management with analysis of trends and recommended improvements.
5. Compare current quarter metrics against previous quarters to assess whether SOC performance is improving or degrading.</t>
        </is>
      </c>
      <c r="E17" s="28" t="inlineStr">
        <is>
          <t>Quarterly SOC performance reports (last 4 quarters); MTTD/MTTR trend data; alert volume analysis; SOC capacity assessment; management reporting on SOC metrics</t>
        </is>
      </c>
      <c r="F17" s="29" t="inlineStr">
        <is>
          <t>Inspection</t>
        </is>
      </c>
      <c r="G17" s="26" t="inlineStr"/>
      <c r="H17" s="26" t="inlineStr"/>
      <c r="I17" s="26" t="inlineStr"/>
      <c r="J17" s="26" t="inlineStr"/>
      <c r="K17" s="26" t="inlineStr"/>
      <c r="L17" s="26" t="inlineStr"/>
      <c r="M17">
        <f>IF(K17="Compliant",3,IF(K17="Partially Compliant",2,IF(K17="Non-Compliant",1,"")))</f>
        <v/>
      </c>
    </row>
    <row r="18" ht="120" customHeight="1">
      <c r="A18" s="24" t="inlineStr">
        <is>
          <t>CYB-2</t>
        </is>
      </c>
      <c r="B18" s="11" t="inlineStr">
        <is>
          <t>Security Operations Centre</t>
        </is>
      </c>
      <c r="C18" s="11" t="inlineStr">
        <is>
          <t>SOC effectiveness assessment</t>
        </is>
      </c>
      <c r="D18" s="11" t="inlineStr">
        <is>
          <t>1. Obtain the most recent SOC effectiveness assessment or maturity review (internal or external) conducted within the last 24 months.
2. Review the assessment scope and verify it covered people, process, and technology dimensions of SOC operations.
3. Inspect findings and recommendations, and verify an action plan was developed with assigned owners and target dates.
4. Confirm progress against the action plan by reviewing status updates and verify critical recommendations have been addressed.
5. Determine whether the assessment included testing of detection capability through purple team exercises or simulated attack scenarios targeting capital market systems.</t>
        </is>
      </c>
      <c r="E18" s="11" t="inlineStr">
        <is>
          <t>SOC effectiveness assessment report (most recent); remediation action plan with status tracking; purple team or detection testing results; SOC maturity scorecard</t>
        </is>
      </c>
      <c r="F18" s="25" t="inlineStr">
        <is>
          <t>Inspection</t>
        </is>
      </c>
      <c r="G18" s="26" t="inlineStr"/>
      <c r="H18" s="26" t="inlineStr"/>
      <c r="I18" s="26" t="inlineStr"/>
      <c r="J18" s="26" t="inlineStr"/>
      <c r="K18" s="26" t="inlineStr"/>
      <c r="L18" s="26" t="inlineStr"/>
      <c r="M18">
        <f>IF(K18="Compliant",3,IF(K18="Partially Compliant",2,IF(K18="Non-Compliant",1,"")))</f>
        <v/>
      </c>
    </row>
    <row r="19" ht="120" customHeight="1">
      <c r="A19" s="27" t="inlineStr">
        <is>
          <t>CYB-2</t>
        </is>
      </c>
      <c r="B19" s="28" t="inlineStr">
        <is>
          <t>Security Operations Centre</t>
        </is>
      </c>
      <c r="C19" s="28" t="inlineStr">
        <is>
          <t>SOC staffing and skills</t>
        </is>
      </c>
      <c r="D19" s="28" t="inlineStr">
        <is>
          <t>1. Review the SOC organisational structure, headcount, and verify staffing levels are adequate for 24/7 coverage without excessive overtime or single points of failure.
2. Obtain SOC analyst training records for the last 12 months and verify analysts have received training on capital market systems, trading protocols, and relevant regulatory requirements.
3. Confirm SOC analysts hold relevant certifications (e.g., GCIA, GCIH, OSCP, vendor-specific SIEM certifications) and the team has a skills development plan.
4. Interview SOC management on staff retention, succession planning, and how knowledge of capital market-specific threats and systems is maintained across the team.
5. Verify that onboarding procedures for new SOC analysts include orientation on capital market operations, critical system topology, and trading hour requirements.</t>
        </is>
      </c>
      <c r="E19" s="28" t="inlineStr">
        <is>
          <t>SOC organisational chart with headcount; analyst training records (last 12 months); certification inventory; skills development plan; staff retention and succession documentation; analyst onboarding checklist</t>
        </is>
      </c>
      <c r="F19" s="29" t="inlineStr">
        <is>
          <t>Inspection / Inquiry</t>
        </is>
      </c>
      <c r="G19" s="26" t="inlineStr"/>
      <c r="H19" s="26" t="inlineStr"/>
      <c r="I19" s="26" t="inlineStr"/>
      <c r="J19" s="26" t="inlineStr"/>
      <c r="K19" s="26" t="inlineStr"/>
      <c r="L19" s="26" t="inlineStr"/>
      <c r="M19">
        <f>IF(K19="Compliant",3,IF(K19="Partially Compliant",2,IF(K19="Non-Compliant",1,"")))</f>
        <v/>
      </c>
    </row>
    <row r="20" ht="24" customHeight="1">
      <c r="A20" s="30" t="inlineStr">
        <is>
          <t>CYB-3 — Vulnerability Management Programme</t>
        </is>
      </c>
    </row>
    <row r="21" ht="72" customHeight="1">
      <c r="A21" s="23" t="inlineStr">
        <is>
          <t>PURPOSE: SC-GL/6-2023 requires capital market intermediaries to operate a comprehensive vulnerability management programme that systematically identifies, prioritises, and remediates vulnerabilities across all capital market systems. This ensures known weaknesses are addressed before they can be exploited by threat actors.
EXPECTATION: The assessor should find a documented vulnerability management programme with defined scanning frequency and scope covering all capital market systems, risk-based patching SLAs that account for trading operational constraints, patch compliance tracking with management reporting, integration with penetration testing findings, a governed exception process, and quarterly trend reporting to the CISO and board.
KEY RISK: Unpatched vulnerabilities in trading platforms, settlement systems, and exchange connectivity create exploitable attack vectors that could be leveraged for market disruption, data breach, or unauthorized access to client trading positions.</t>
        </is>
      </c>
    </row>
    <row r="22" ht="120" customHeight="1">
      <c r="A22" s="24" t="inlineStr">
        <is>
          <t>CYB-3</t>
        </is>
      </c>
      <c r="B22" s="11" t="inlineStr">
        <is>
          <t>Vulnerability Management Programme</t>
        </is>
      </c>
      <c r="C22" s="11" t="inlineStr">
        <is>
          <t>Vulnerability scanning programme</t>
        </is>
      </c>
      <c r="D22" s="11" t="inlineStr">
        <is>
          <t>1. Obtain the vulnerability management policy or procedure and verify it defines scanning frequency, tools, responsibilities, and scope.
2. Review the scanning schedule and confirm scans are executed at the required frequency (e.g., weekly or monthly for critical systems, quarterly for others).
3. Verify that scanning tools are current, licensed, and configured with up-to-date vulnerability signatures.
4. Inspect the last 3 scan execution reports (per sampling methodology for operational records) to confirm scans completed successfully without premature termination or configuration errors.
5. Confirm that authenticated scanning is used for critical capital market systems to ensure accurate detection depth.</t>
        </is>
      </c>
      <c r="E22" s="11" t="inlineStr">
        <is>
          <t>Vulnerability management policy/procedure; scanning schedule; scanning tool licence and configuration records; scan execution reports (last 3 scans per sampling methodology); authenticated scan configuration evidence</t>
        </is>
      </c>
      <c r="F22" s="25" t="inlineStr">
        <is>
          <t>Inspection</t>
        </is>
      </c>
      <c r="G22" s="26" t="inlineStr"/>
      <c r="H22" s="26" t="inlineStr"/>
      <c r="I22" s="26" t="inlineStr"/>
      <c r="J22" s="26" t="inlineStr"/>
      <c r="K22" s="26" t="inlineStr"/>
      <c r="L22" s="26" t="inlineStr"/>
      <c r="M22">
        <f>IF(K22="Compliant",3,IF(K22="Partially Compliant",2,IF(K22="Non-Compliant",1,"")))</f>
        <v/>
      </c>
    </row>
    <row r="23" ht="120" customHeight="1">
      <c r="A23" s="27" t="inlineStr">
        <is>
          <t>CYB-3</t>
        </is>
      </c>
      <c r="B23" s="28" t="inlineStr">
        <is>
          <t>Vulnerability Management Programme</t>
        </is>
      </c>
      <c r="C23" s="28" t="inlineStr">
        <is>
          <t>Asset coverage and scope</t>
        </is>
      </c>
      <c r="D23" s="28" t="inlineStr">
        <is>
          <t>1. Obtain the vulnerability scanning asset scope and compare against the entity's complete IT asset register and critical system inventory.
2. Verify that all capital market systems are included in scanning scope: trading platforms, OMS/EMS, settlement systems, market data feed infrastructure, client portals, algorithmic trading engines, and supporting middleware.
3. Identify any systems excluded from scanning (e.g., legacy trading systems, vendor-managed platforms) and verify documented risk acceptance with compensating controls.
4. Confirm that cloud-hosted capital market workloads are included in the scanning programme.
5. Review asset discovery procedures to ensure new systems are added to scanning scope within a defined timeframe after deployment.</t>
        </is>
      </c>
      <c r="E23" s="28" t="inlineStr">
        <is>
          <t>Vulnerability scanning scope document; IT asset register cross-reference; excluded assets register with risk acceptance approvals; cloud workload scanning evidence; asset discovery procedure</t>
        </is>
      </c>
      <c r="F23" s="29" t="inlineStr">
        <is>
          <t>Inspection</t>
        </is>
      </c>
      <c r="G23" s="26" t="inlineStr"/>
      <c r="H23" s="26" t="inlineStr"/>
      <c r="I23" s="26" t="inlineStr"/>
      <c r="J23" s="26" t="inlineStr"/>
      <c r="K23" s="26" t="inlineStr"/>
      <c r="L23" s="26" t="inlineStr"/>
      <c r="M23">
        <f>IF(K23="Compliant",3,IF(K23="Partially Compliant",2,IF(K23="Non-Compliant",1,"")))</f>
        <v/>
      </c>
    </row>
    <row r="24" ht="120" customHeight="1">
      <c r="A24" s="24" t="inlineStr">
        <is>
          <t>CYB-3</t>
        </is>
      </c>
      <c r="B24" s="11" t="inlineStr">
        <is>
          <t>Vulnerability Management Programme</t>
        </is>
      </c>
      <c r="C24" s="11" t="inlineStr">
        <is>
          <t>Risk-based patching SLAs</t>
        </is>
      </c>
      <c r="D24" s="11" t="inlineStr">
        <is>
          <t>1. Obtain the patch management policy and verify defined SLAs by vulnerability severity: critical (e.g., 72 hours), high (e.g., 14 days), medium (e.g., 30 days), low (e.g., 90 days).
2. Verify that SLAs account for capital market operational constraints, including trading windows, settlement cycles, and market closure periods for applying patches.
3. Review the emergency patching procedure for zero-day vulnerabilities affecting production trading systems, including approval workflow, testing requirements, and rollback plans.
4. Confirm that SLAs differentiate between internet-facing systems, internal capital market systems, and supporting infrastructure.
5. Interview the patch management team to understand how patching of trading systems is coordinated with market operations to minimise disruption during trading hours.</t>
        </is>
      </c>
      <c r="E24" s="11" t="inlineStr">
        <is>
          <t>Patch management policy with SLAs; emergency patching procedure; trading system patch coordination records; SLA definitions by system classification</t>
        </is>
      </c>
      <c r="F24" s="25" t="inlineStr">
        <is>
          <t>Inspection / Inquiry</t>
        </is>
      </c>
      <c r="G24" s="26" t="inlineStr"/>
      <c r="H24" s="26" t="inlineStr"/>
      <c r="I24" s="26" t="inlineStr"/>
      <c r="J24" s="26" t="inlineStr"/>
      <c r="K24" s="26" t="inlineStr"/>
      <c r="L24" s="26" t="inlineStr"/>
      <c r="M24">
        <f>IF(K24="Compliant",3,IF(K24="Partially Compliant",2,IF(K24="Non-Compliant",1,"")))</f>
        <v/>
      </c>
    </row>
    <row r="25" ht="120" customHeight="1">
      <c r="A25" s="27" t="inlineStr">
        <is>
          <t>CYB-3</t>
        </is>
      </c>
      <c r="B25" s="28" t="inlineStr">
        <is>
          <t>Vulnerability Management Programme</t>
        </is>
      </c>
      <c r="C25" s="28" t="inlineStr">
        <is>
          <t>Patch compliance and SLA adherence</t>
        </is>
      </c>
      <c r="D25" s="28" t="inlineStr">
        <is>
          <t>1. Obtain patch compliance reports for the last 3 months (per sampling methodology for operational records) and verify overall compliance rates against defined SLAs.
2. Select a sample of 10 critical and high vulnerabilities identified in the last 6 months (per sampling methodology) and trace each from identification through patching to closure, verifying SLA compliance.
3. Review the current count of overdue patches by severity and system classification, with particular attention to overdue patches on trading and settlement systems.
4. Verify that patch compliance metrics are reported to CISO and senior management with trend analysis.
5. Confirm that patch deployment to capital market systems follows a defined testing and change management process before production rollout.</t>
        </is>
      </c>
      <c r="E25" s="28" t="inlineStr">
        <is>
          <t>Patch compliance reports (last 3 months per sampling methodology); sample vulnerability-to-patch trace records (10 items per sampling methodology); overdue patch inventory; management patch compliance dashboards; change records for patches applied to trading systems</t>
        </is>
      </c>
      <c r="F25" s="29" t="inlineStr">
        <is>
          <t>Inspection</t>
        </is>
      </c>
      <c r="G25" s="26" t="inlineStr"/>
      <c r="H25" s="26" t="inlineStr"/>
      <c r="I25" s="26" t="inlineStr"/>
      <c r="J25" s="26" t="inlineStr"/>
      <c r="K25" s="26" t="inlineStr"/>
      <c r="L25" s="26" t="inlineStr"/>
      <c r="M25">
        <f>IF(K25="Compliant",3,IF(K25="Partially Compliant",2,IF(K25="Non-Compliant",1,"")))</f>
        <v/>
      </c>
    </row>
    <row r="26" ht="120" customHeight="1">
      <c r="A26" s="24" t="inlineStr">
        <is>
          <t>CYB-3</t>
        </is>
      </c>
      <c r="B26" s="11" t="inlineStr">
        <is>
          <t>Vulnerability Management Programme</t>
        </is>
      </c>
      <c r="C26" s="11" t="inlineStr">
        <is>
          <t>Penetration testing integration</t>
        </is>
      </c>
      <c r="D26" s="11" t="inlineStr">
        <is>
          <t>1. Obtain the most recent penetration testing report (within last 12 months per sampling methodology for annual processes) and verify it was conducted by qualified independent testers.
2. Confirm the penetration test scope included critical capital market systems: trading platforms, settlement systems, client-facing portals, market data infrastructure, and external connectivity points.
3. Verify that penetration testing findings have been fed into the vulnerability management programme with appropriate severity ratings and remediation SLAs.
4. Review remediation status of penetration testing findings, selecting a sample of 5 critical/high findings (per sampling methodology) to confirm timely closure.
5. Determine whether penetration testing includes testing of Bursa Malaysia connectivity security, algorithmic trading API endpoints, and FIX protocol implementations.</t>
        </is>
      </c>
      <c r="E26" s="11" t="inlineStr">
        <is>
          <t>Penetration testing report (most recent, last 12 months); tester qualification evidence; scope documentation; finding remediation tracking; sample finding closure evidence (5 findings per sampling methodology)</t>
        </is>
      </c>
      <c r="F26" s="25" t="inlineStr">
        <is>
          <t>Inspection</t>
        </is>
      </c>
      <c r="G26" s="26" t="inlineStr"/>
      <c r="H26" s="26" t="inlineStr"/>
      <c r="I26" s="26" t="inlineStr"/>
      <c r="J26" s="26" t="inlineStr"/>
      <c r="K26" s="26" t="inlineStr"/>
      <c r="L26" s="26" t="inlineStr"/>
      <c r="M26">
        <f>IF(K26="Compliant",3,IF(K26="Partially Compliant",2,IF(K26="Non-Compliant",1,"")))</f>
        <v/>
      </c>
    </row>
    <row r="27" ht="120" customHeight="1">
      <c r="A27" s="27" t="inlineStr">
        <is>
          <t>CYB-3</t>
        </is>
      </c>
      <c r="B27" s="28" t="inlineStr">
        <is>
          <t>Vulnerability Management Programme</t>
        </is>
      </c>
      <c r="C27" s="28" t="inlineStr">
        <is>
          <t>Exception and risk acceptance management</t>
        </is>
      </c>
      <c r="D27" s="28" t="inlineStr">
        <is>
          <t>1. Obtain the vulnerability exception or risk acceptance register and review all current open exceptions.
2. Verify each exception has documented business justification, risk owner approval at appropriate authority level, defined compensating controls, and a review/expiry date.
3. Select a sample of 5 exceptions (per sampling methodology) and verify compensating controls are in place and effective.
4. Review expired exceptions to confirm they were re-assessed and either remediated or formally renewed.
5. Confirm that exceptions for vulnerabilities on trading and settlement systems require CISO or senior management approval.</t>
        </is>
      </c>
      <c r="E27" s="28" t="inlineStr">
        <is>
          <t>Vulnerability exception/risk acceptance register; exception approval records with risk owner sign-off; compensating control documentation (5 exceptions per sampling methodology); exception review/renewal records; approval authority matrix for exceptions</t>
        </is>
      </c>
      <c r="F27" s="29" t="inlineStr">
        <is>
          <t>Inspection</t>
        </is>
      </c>
      <c r="G27" s="26" t="inlineStr"/>
      <c r="H27" s="26" t="inlineStr"/>
      <c r="I27" s="26" t="inlineStr"/>
      <c r="J27" s="26" t="inlineStr"/>
      <c r="K27" s="26" t="inlineStr"/>
      <c r="L27" s="26" t="inlineStr"/>
      <c r="M27">
        <f>IF(K27="Compliant",3,IF(K27="Partially Compliant",2,IF(K27="Non-Compliant",1,"")))</f>
        <v/>
      </c>
    </row>
    <row r="28" ht="120" customHeight="1">
      <c r="A28" s="24" t="inlineStr">
        <is>
          <t>CYB-3</t>
        </is>
      </c>
      <c r="B28" s="11" t="inlineStr">
        <is>
          <t>Vulnerability Management Programme</t>
        </is>
      </c>
      <c r="C28" s="11" t="inlineStr">
        <is>
          <t>Vulnerability trending and reporting</t>
        </is>
      </c>
      <c r="D28" s="11" t="inlineStr">
        <is>
          <t>1. Obtain vulnerability trend reports for the last 4 quarters and verify they track total vulnerability counts, new vulnerabilities identified, remediated, and remaining open by severity.
2. Review whether trending data shows improvement or deterioration in the entity's vulnerability posture, particularly for capital market systems.
3. Verify that recurring vulnerability categories (e.g., same vulnerability class appearing across multiple scan cycles) are identified and root cause analysis is conducted.
4. Confirm vulnerability trending reports are provided to CISO and board/risk committee with recommendations for systemic improvements.
5. Determine whether vulnerability data is correlated with threat intelligence to prioritise remediation based on active exploitation in the capital market sector.</t>
        </is>
      </c>
      <c r="E28" s="11" t="inlineStr">
        <is>
          <t>Quarterly vulnerability trend reports (last 4 quarters); root cause analysis for recurring vulnerabilities; management reporting with trend analysis; threat-informed prioritisation evidence</t>
        </is>
      </c>
      <c r="F28" s="25" t="inlineStr">
        <is>
          <t>Inspection</t>
        </is>
      </c>
      <c r="G28" s="26" t="inlineStr"/>
      <c r="H28" s="26" t="inlineStr"/>
      <c r="I28" s="26" t="inlineStr"/>
      <c r="J28" s="26" t="inlineStr"/>
      <c r="K28" s="26" t="inlineStr"/>
      <c r="L28" s="26" t="inlineStr"/>
      <c r="M28">
        <f>IF(K28="Compliant",3,IF(K28="Partially Compliant",2,IF(K28="Non-Compliant",1,"")))</f>
        <v/>
      </c>
    </row>
    <row r="29" ht="24" customHeight="1">
      <c r="A29" s="30" t="inlineStr">
        <is>
          <t>CYB-4 — Network Security Architecture</t>
        </is>
      </c>
    </row>
    <row r="30" ht="72" customHeight="1">
      <c r="A30" s="23" t="inlineStr">
        <is>
          <t>PURPOSE: SC-GL/6-2023 requires capital market intermediaries to maintain a secure network architecture with appropriate segmentation between trading, settlement, corporate, and market data environments. This ensures that network design supports defence in depth and limits the blast radius of any security compromise.
EXPECTATION: The assessor should find a documented and current network architecture with distinct segments for trading, settlement, market data, corporate, and DMZ environments. Firewall rules should enforce least-privilege inter-segment access, IDS/IPS sensors should cover all critical segments, exchange connectivity should use dedicated secure channels, and the architecture should be reviewed at least annually against the current threat landscape.
KEY RISK: Poor network segmentation allows lateral movement from compromised corporate systems into trading and settlement networks, enabling attackers to disrupt market operations, manipulate trading activity, or intercept market data feeds.</t>
        </is>
      </c>
    </row>
    <row r="31" ht="120" customHeight="1">
      <c r="A31" s="27" t="inlineStr">
        <is>
          <t>CYB-4</t>
        </is>
      </c>
      <c r="B31" s="28" t="inlineStr">
        <is>
          <t>Network Security Architecture</t>
        </is>
      </c>
      <c r="C31" s="28" t="inlineStr">
        <is>
          <t>Network architecture documentation</t>
        </is>
      </c>
      <c r="D31" s="28" t="inlineStr">
        <is>
          <t>1. Obtain the current network architecture diagram and verify it is dated, version-controlled, and approved by the network security team or CTO.
2. Verify the diagram accurately reflects the production environment, including all network zones, VLAN assignments, and connectivity paths for capital market systems.
3. Confirm the diagram identifies all external connectivity points: Bursa Malaysia links, clearing house connections, market data provider feeds, client VPN/API gateways, and internet-facing services.
4. Review the diagram update process and confirm it is updated within a defined timeframe after network changes.
5. Interview the network team to confirm the diagram reflects the as-built environment, not just the designed state.</t>
        </is>
      </c>
      <c r="E31" s="28" t="inlineStr">
        <is>
          <t>Network architecture diagram (current version, dated); diagram version history; network change log cross-referenced to diagram updates; external connectivity inventory</t>
        </is>
      </c>
      <c r="F31" s="29" t="inlineStr">
        <is>
          <t>Inspection / Inquiry</t>
        </is>
      </c>
      <c r="G31" s="26" t="inlineStr"/>
      <c r="H31" s="26" t="inlineStr"/>
      <c r="I31" s="26" t="inlineStr"/>
      <c r="J31" s="26" t="inlineStr"/>
      <c r="K31" s="26" t="inlineStr"/>
      <c r="L31" s="26" t="inlineStr"/>
      <c r="M31">
        <f>IF(K31="Compliant",3,IF(K31="Partially Compliant",2,IF(K31="Non-Compliant",1,"")))</f>
        <v/>
      </c>
    </row>
    <row r="32" ht="120" customHeight="1">
      <c r="A32" s="24" t="inlineStr">
        <is>
          <t>CYB-4</t>
        </is>
      </c>
      <c r="B32" s="11" t="inlineStr">
        <is>
          <t>Network Security Architecture</t>
        </is>
      </c>
      <c r="C32" s="11" t="inlineStr">
        <is>
          <t>Network segmentation — trading, settlement, corporate, and market data</t>
        </is>
      </c>
      <c r="D32" s="11" t="inlineStr">
        <is>
          <t>1. Verify that distinct network segments exist for: (a) trading systems and OMS/EMS, (b) settlement and clearing systems, (c) market data feed infrastructure, (d) corporate/office network, (e) client-facing DMZ, and (f) management/administrative network.
2. Review VLAN configurations and routing tables to confirm segments are logically or physically separated with controlled inter-segment access.
3. Inspect firewall or access control policies governing traffic between trading networks and corporate networks, confirming least-privilege rules with no overly permissive paths.
4. Verify that algorithmic trading infrastructure is segmented with dedicated network paths to exchange connectivity, isolated from general corporate traffic.
5. Test a sample of 3 inter-segment access rules (per sampling methodology) by reviewing recent traffic logs to confirm only authorised traffic flows between zones.</t>
        </is>
      </c>
      <c r="E32" s="11" t="inlineStr">
        <is>
          <t>VLAN configuration documentation; inter-segment firewall rule sets; routing table extracts; network traffic flow analysis for inter-segment paths (3 rules per sampling methodology); algorithmic trading network isolation evidence</t>
        </is>
      </c>
      <c r="F32" s="25" t="inlineStr">
        <is>
          <t>Inspection / Observation</t>
        </is>
      </c>
      <c r="G32" s="26" t="inlineStr"/>
      <c r="H32" s="26" t="inlineStr"/>
      <c r="I32" s="26" t="inlineStr"/>
      <c r="J32" s="26" t="inlineStr"/>
      <c r="K32" s="26" t="inlineStr"/>
      <c r="L32" s="26" t="inlineStr"/>
      <c r="M32">
        <f>IF(K32="Compliant",3,IF(K32="Partially Compliant",2,IF(K32="Non-Compliant",1,"")))</f>
        <v/>
      </c>
    </row>
    <row r="33" ht="120" customHeight="1">
      <c r="A33" s="27" t="inlineStr">
        <is>
          <t>CYB-4</t>
        </is>
      </c>
      <c r="B33" s="28" t="inlineStr">
        <is>
          <t>Network Security Architecture</t>
        </is>
      </c>
      <c r="C33" s="28" t="inlineStr">
        <is>
          <t>IDS/IPS deployment and monitoring</t>
        </is>
      </c>
      <c r="D33" s="28" t="inlineStr">
        <is>
          <t>1. Obtain the IDS/IPS deployment inventory and verify sensors are deployed on all critical network segments: trading network perimeter, settlement system segments, market data feed paths, internet-facing DMZ, and Bursa Malaysia connectivity.
2. Review IDS/IPS signature update procedures and confirm signatures are updated at least weekly, with emergency updates for critical threats.
3. Select a sample of 5 IDS/IPS alerts from the last 3 months (per sampling methodology) and verify each was triaged, investigated, and dispositioned according to documented procedures.
4. Confirm IDS/IPS operates in prevention mode (IPS) for internet-facing segments and verify the policy for detection-only vs. prevention mode on internal trading network segments.
5. Review IDS/IPS performance metrics including alert volumes, false positive rates, and any detection blind spots identified in the last review.</t>
        </is>
      </c>
      <c r="E33" s="28" t="inlineStr">
        <is>
          <t>IDS/IPS deployment map with sensor locations; signature update logs; sample alert investigation records (5 alerts per sampling methodology); IPS mode configuration evidence; IDS/IPS performance metrics report</t>
        </is>
      </c>
      <c r="F33" s="29" t="inlineStr">
        <is>
          <t>Inspection</t>
        </is>
      </c>
      <c r="G33" s="26" t="inlineStr"/>
      <c r="H33" s="26" t="inlineStr"/>
      <c r="I33" s="26" t="inlineStr"/>
      <c r="J33" s="26" t="inlineStr"/>
      <c r="K33" s="26" t="inlineStr"/>
      <c r="L33" s="26" t="inlineStr"/>
      <c r="M33">
        <f>IF(K33="Compliant",3,IF(K33="Partially Compliant",2,IF(K33="Non-Compliant",1,"")))</f>
        <v/>
      </c>
    </row>
    <row r="34" ht="120" customHeight="1">
      <c r="A34" s="24" t="inlineStr">
        <is>
          <t>CYB-4</t>
        </is>
      </c>
      <c r="B34" s="11" t="inlineStr">
        <is>
          <t>Network Security Architecture</t>
        </is>
      </c>
      <c r="C34" s="11" t="inlineStr">
        <is>
          <t>Market data feed and exchange connectivity security</t>
        </is>
      </c>
      <c r="D34" s="11" t="inlineStr">
        <is>
          <t>1. Obtain documentation of all market data feed connections and exchange connectivity (Bursa Malaysia, Bursa Malaysia Derivatives, clearing houses, central depository) and verify security controls for each.
2. Verify that exchange connectivity uses dedicated leased lines, encrypted VPN tunnels, or SC-approved secure channels with mutual authentication.
3. Review access controls on market data feed handlers and confirm only authorised trading systems and personnel can access raw market data.
4. Inspect FIX protocol gateway configurations for authentication, session management, message validation, and heartbeat monitoring.
5. Confirm that market data feed redundancy and failover paths are secured with equivalent controls to primary paths.</t>
        </is>
      </c>
      <c r="E34" s="11" t="inlineStr">
        <is>
          <t>Exchange connectivity inventory with security controls; leased line or VPN configuration records; market data feed access control lists; FIX gateway configuration extracts; failover path security documentation</t>
        </is>
      </c>
      <c r="F34" s="25" t="inlineStr">
        <is>
          <t>Inspection / Inquiry</t>
        </is>
      </c>
      <c r="G34" s="26" t="inlineStr"/>
      <c r="H34" s="26" t="inlineStr"/>
      <c r="I34" s="26" t="inlineStr"/>
      <c r="J34" s="26" t="inlineStr"/>
      <c r="K34" s="26" t="inlineStr"/>
      <c r="L34" s="26" t="inlineStr"/>
      <c r="M34">
        <f>IF(K34="Compliant",3,IF(K34="Partially Compliant",2,IF(K34="Non-Compliant",1,"")))</f>
        <v/>
      </c>
    </row>
    <row r="35" ht="120" customHeight="1">
      <c r="A35" s="27" t="inlineStr">
        <is>
          <t>CYB-4</t>
        </is>
      </c>
      <c r="B35" s="28" t="inlineStr">
        <is>
          <t>Network Security Architecture</t>
        </is>
      </c>
      <c r="C35" s="28" t="inlineStr">
        <is>
          <t>Firewall rule management</t>
        </is>
      </c>
      <c r="D35" s="28" t="inlineStr">
        <is>
          <t>1. Obtain the firewall rule management policy and verify it defines rule request, approval, implementation, and periodic review processes.
2. Review the last firewall rule review (conducted within last 12 months per sampling methodology for annual processes) and verify unused, redundant, or overly permissive rules were identified and remediated.
3. Select a sample of 5 firewall rule change requests from the last 6 months (per sampling methodology) and verify each followed the defined approval workflow with business justification and security review.
4. Inspect firewall rule sets for any-to-any rules, rules permitting direct internet access from trading networks, or rules with no expiry date on temporary access.
5. Verify that firewall rules governing Bursa Malaysia connectivity and clearing house connections are reviewed by both network security and market operations teams.</t>
        </is>
      </c>
      <c r="E35" s="28" t="inlineStr">
        <is>
          <t>Firewall rule management policy; last firewall rule review report (last 12 months); sample firewall change requests with approvals (5 changes per sampling methodology); firewall rule set extracts for critical segments; Bursa connectivity rule review records</t>
        </is>
      </c>
      <c r="F35" s="29" t="inlineStr">
        <is>
          <t>Inspection</t>
        </is>
      </c>
      <c r="G35" s="26" t="inlineStr"/>
      <c r="H35" s="26" t="inlineStr"/>
      <c r="I35" s="26" t="inlineStr"/>
      <c r="J35" s="26" t="inlineStr"/>
      <c r="K35" s="26" t="inlineStr"/>
      <c r="L35" s="26" t="inlineStr"/>
      <c r="M35">
        <f>IF(K35="Compliant",3,IF(K35="Partially Compliant",2,IF(K35="Non-Compliant",1,"")))</f>
        <v/>
      </c>
    </row>
    <row r="36" ht="120" customHeight="1">
      <c r="A36" s="24" t="inlineStr">
        <is>
          <t>CYB-4</t>
        </is>
      </c>
      <c r="B36" s="11" t="inlineStr">
        <is>
          <t>Network Security Architecture</t>
        </is>
      </c>
      <c r="C36" s="11" t="inlineStr">
        <is>
          <t>Network architecture review</t>
        </is>
      </c>
      <c r="D36" s="11" t="inlineStr">
        <is>
          <t>1. Obtain the most recent network architecture review report (conducted within last 12 months) and verify it assessed the architecture against the current threat landscape and SC-GL/6-2023 requirements.
2. Verify the review scope covered all capital market network segments including trading, settlement, market data, and external connectivity.
3. Review findings and recommendations, and confirm an action plan was developed with assigned owners, target dates, and progress tracking.
4. Determine whether the review assessed the architecture's resilience to common attack scenarios: lateral movement from corporate to trading networks, DDoS against exchange connectivity, man-in-the-middle on market data feeds.
5. Confirm that the network architecture review considered emerging requirements such as zero-trust principles, microsegmentation, and software-defined networking for capital market infrastructure.</t>
        </is>
      </c>
      <c r="E36" s="11" t="inlineStr">
        <is>
          <t>Network architecture review report (most recent); review scope documentation; findings remediation action plan with status; threat scenario assessment evidence; zero-trust readiness assessment</t>
        </is>
      </c>
      <c r="F36" s="25" t="inlineStr">
        <is>
          <t>Inspection</t>
        </is>
      </c>
      <c r="G36" s="26" t="inlineStr"/>
      <c r="H36" s="26" t="inlineStr"/>
      <c r="I36" s="26" t="inlineStr"/>
      <c r="J36" s="26" t="inlineStr"/>
      <c r="K36" s="26" t="inlineStr"/>
      <c r="L36" s="26" t="inlineStr"/>
      <c r="M36">
        <f>IF(K36="Compliant",3,IF(K36="Partially Compliant",2,IF(K36="Non-Compliant",1,"")))</f>
        <v/>
      </c>
    </row>
    <row r="38" ht="28" customHeight="1">
      <c r="A38" s="31" t="inlineStr">
        <is>
          <t>This work program is constructed for educational purposes. Customise for your engagement. Not legal or regulatory advice. AI-generated content — review and validate before use.</t>
        </is>
      </c>
    </row>
  </sheetData>
  <autoFilter ref="A1:L1"/>
  <mergeCells count="9">
    <mergeCell ref="A20:L20"/>
    <mergeCell ref="A30:L30"/>
    <mergeCell ref="A2:L2"/>
    <mergeCell ref="A38:L38"/>
    <mergeCell ref="A29:L29"/>
    <mergeCell ref="A10:L10"/>
    <mergeCell ref="A11:L11"/>
    <mergeCell ref="A3:L3"/>
    <mergeCell ref="A21:L21"/>
  </mergeCells>
  <dataValidations count="1">
    <dataValidation sqref="K4 K5 K6 K7 K8 K9 K12 K13 K14 K15 K16 K17 K18 K19 K22 K23 K24 K25 K26 K27 K28 K31 K32 K33 K34 K35 K36" showDropDown="0" showInputMessage="0" showErrorMessage="0" allowBlank="1" errorTitle="Invalid Conclusion" error="Please select a valid conclusion" promptTitle="Conclusion" prompt="Select the assessment conclusion" type="list">
      <formula1>"Compliant,Partially Compliant,Non-Compliant,N/A"</formula1>
    </dataValidation>
  </dataValidations>
  <pageMargins left="0.75" right="0.75" top="1" bottom="1" header="0.5" footer="0.5"/>
</worksheet>
</file>

<file path=xl/worksheets/sheet4.xml><?xml version="1.0" encoding="utf-8"?>
<worksheet xmlns="http://schemas.openxmlformats.org/spreadsheetml/2006/main">
  <sheetPr>
    <tabColor rgb="00E67E22"/>
    <outlinePr summaryBelow="1" summaryRight="1"/>
    <pageSetUpPr/>
  </sheetPr>
  <dimension ref="A1:M57"/>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4" customWidth="1" min="3" max="3"/>
    <col width="48" customWidth="1" min="4" max="4"/>
    <col width="36" customWidth="1" min="5" max="5"/>
    <col width="14" customWidth="1" min="6" max="6"/>
    <col width="30" customWidth="1" min="7" max="7"/>
    <col width="24" customWidth="1" min="8" max="8"/>
    <col width="12" customWidth="1" min="9" max="9"/>
    <col width="30" customWidth="1" min="10" max="10"/>
    <col width="14" customWidth="1" min="11" max="11"/>
    <col width="30" customWidth="1" min="12" max="12"/>
    <col hidden="1" width="13" customWidth="1" min="13" max="13"/>
  </cols>
  <sheetData>
    <row r="1" ht="28" customHeight="1">
      <c r="A1" s="20" t="inlineStr">
        <is>
          <t>Ref</t>
        </is>
      </c>
      <c r="B1" s="20" t="inlineStr">
        <is>
          <t>Control</t>
        </is>
      </c>
      <c r="C1" s="20" t="inlineStr">
        <is>
          <t>Sub-Procedure</t>
        </is>
      </c>
      <c r="D1" s="20" t="inlineStr">
        <is>
          <t>Assessment Procedures</t>
        </is>
      </c>
      <c r="E1" s="20" t="inlineStr">
        <is>
          <t>Expected Evidence</t>
        </is>
      </c>
      <c r="F1" s="20" t="inlineStr">
        <is>
          <t>Method</t>
        </is>
      </c>
      <c r="G1" s="20" t="inlineStr">
        <is>
          <t>Procedures Performed</t>
        </is>
      </c>
      <c r="H1" s="20" t="inlineStr">
        <is>
          <t>Evidence Obtained</t>
        </is>
      </c>
      <c r="I1" s="20" t="inlineStr">
        <is>
          <t>Evidence Ref</t>
        </is>
      </c>
      <c r="J1" s="20" t="inlineStr">
        <is>
          <t>Observation / Findings</t>
        </is>
      </c>
      <c r="K1" s="20" t="inlineStr">
        <is>
          <t>Conclusion</t>
        </is>
      </c>
      <c r="L1" s="20" t="inlineStr">
        <is>
          <t>Recommendations</t>
        </is>
      </c>
      <c r="M1" s="21" t="inlineStr">
        <is>
          <t>Score</t>
        </is>
      </c>
    </row>
    <row r="2" ht="24" customHeight="1">
      <c r="A2" s="22" t="inlineStr">
        <is>
          <t>RIM-1 — BCM Programme for Market Operations [CRITICAL]</t>
        </is>
      </c>
    </row>
    <row r="3" ht="72" customHeight="1">
      <c r="A3" s="23" t="inlineStr">
        <is>
          <t>PURPOSE: SC-GL/6-2023 requires capital market intermediaries to maintain a comprehensive business continuity management programme because disruption to trading, clearing, or settlement operations can cascade across the entire market ecosystem. The BCM programme ensures the intermediary can sustain or rapidly restore critical market functions, protecting investors and preserving market integrity.
EXPECTATION: The assessor should find a board-approved BCM programme with a current BIA that quantifies maximum tolerable downtime for each capital market function, BCPs with market-specific recovery strategies, and validated RTO/RPO targets. Coordination arrangements with Bursa Malaysia and clearing houses should be documented and tested.
KEY RISK: Absence of an effective BCM programme exposes the intermediary to prolonged trading halts, settlement failures, and inability to manage client positions during disruptions — resulting in direct financial loss, regulatory sanctions, and erosion of market confidence.</t>
        </is>
      </c>
    </row>
    <row r="4" ht="120" customHeight="1">
      <c r="A4" s="24" t="inlineStr">
        <is>
          <t>RIM-1</t>
        </is>
      </c>
      <c r="B4" s="11" t="inlineStr">
        <is>
          <t>BCM Programme for Market Operations</t>
        </is>
      </c>
      <c r="C4" s="11" t="inlineStr">
        <is>
          <t>BIA for capital market functions</t>
        </is>
      </c>
      <c r="D4" s="11" t="inlineStr">
        <is>
          <t>1. Obtain the business impact analysis (BIA) for capital market functions.
2. Verify the BIA covers trading, clearing, settlement, custody, and client services with assigned criticality levels.
3. Confirm that impact timelines (maximum tolerable downtime) are quantified for each function in terms of financial loss, regulatory breach, and market disruption.
4. Determine whether the BIA was reviewed and updated within the last 12 months (per sampling methodology) or after a material change in operations.</t>
        </is>
      </c>
      <c r="E4" s="11" t="inlineStr">
        <is>
          <t>BIA document for capital market operations; criticality classification matrix; BIA review/approval records (last 12 months)</t>
        </is>
      </c>
      <c r="F4" s="25" t="inlineStr">
        <is>
          <t>Inspection</t>
        </is>
      </c>
      <c r="G4" s="26" t="inlineStr"/>
      <c r="H4" s="26" t="inlineStr"/>
      <c r="I4" s="26" t="inlineStr"/>
      <c r="J4" s="26" t="inlineStr"/>
      <c r="K4" s="26" t="inlineStr"/>
      <c r="L4" s="26" t="inlineStr"/>
      <c r="M4">
        <f>IF(K4="Compliant",3,IF(K4="Partially Compliant",2,IF(K4="Non-Compliant",1,"")))</f>
        <v/>
      </c>
    </row>
    <row r="5" ht="120" customHeight="1">
      <c r="A5" s="27" t="inlineStr">
        <is>
          <t>RIM-1</t>
        </is>
      </c>
      <c r="B5" s="28" t="inlineStr">
        <is>
          <t>BCM Programme for Market Operations</t>
        </is>
      </c>
      <c r="C5" s="28" t="inlineStr">
        <is>
          <t>BCP coverage for trading, clearing, and settlement</t>
        </is>
      </c>
      <c r="D5" s="28" t="inlineStr">
        <is>
          <t>1. Obtain the BCP document and verify it addresses recovery strategies for trading, clearing, settlement, and custody operations.
2. Review whether the BCP defines activation triggers, escalation paths, and roles for each capital market function.
3. Confirm that the BCP addresses scenarios specific to market operations — trading halt, clearing system failure, settlement cycle disruption during T+2 window.
4. Verify that the BCP has been approved by senior management or the board within the last 12 months (per sampling methodology).</t>
        </is>
      </c>
      <c r="E5" s="28" t="inlineStr">
        <is>
          <t>BCP document covering trading, clearing, settlement, and custody; BCP approval records; scenario coverage matrix</t>
        </is>
      </c>
      <c r="F5" s="29" t="inlineStr">
        <is>
          <t>Inspection</t>
        </is>
      </c>
      <c r="G5" s="26" t="inlineStr"/>
      <c r="H5" s="26" t="inlineStr"/>
      <c r="I5" s="26" t="inlineStr"/>
      <c r="J5" s="26" t="inlineStr"/>
      <c r="K5" s="26" t="inlineStr"/>
      <c r="L5" s="26" t="inlineStr"/>
      <c r="M5">
        <f>IF(K5="Compliant",3,IF(K5="Partially Compliant",2,IF(K5="Non-Compliant",1,"")))</f>
        <v/>
      </c>
    </row>
    <row r="6" ht="120" customHeight="1">
      <c r="A6" s="24" t="inlineStr">
        <is>
          <t>RIM-1</t>
        </is>
      </c>
      <c r="B6" s="11" t="inlineStr">
        <is>
          <t>BCM Programme for Market Operations</t>
        </is>
      </c>
      <c r="C6" s="11" t="inlineStr">
        <is>
          <t>RTO and RPO definitions and validation</t>
        </is>
      </c>
      <c r="D6" s="11" t="inlineStr">
        <is>
          <t>1. Review defined RTO and RPO targets for each critical capital market system (order management, trade matching, clearing engine, settlement processing).
2. Verify that RTOs account for market trading hours and settlement cycle deadlines (T+2).
3. Confirm that RTO/RPO targets have been validated through actual DR testing within the last 12 months (per sampling methodology).
4. Determine whether any validation tests failed to meet targets, and review remediation actions taken.</t>
        </is>
      </c>
      <c r="E6" s="11" t="inlineStr">
        <is>
          <t>RTO/RPO register for critical market systems; DR test results validating RTO/RPO achievement; remediation records for any missed targets</t>
        </is>
      </c>
      <c r="F6" s="25" t="inlineStr">
        <is>
          <t>Inspection</t>
        </is>
      </c>
      <c r="G6" s="26" t="inlineStr"/>
      <c r="H6" s="26" t="inlineStr"/>
      <c r="I6" s="26" t="inlineStr"/>
      <c r="J6" s="26" t="inlineStr"/>
      <c r="K6" s="26" t="inlineStr"/>
      <c r="L6" s="26" t="inlineStr"/>
      <c r="M6">
        <f>IF(K6="Compliant",3,IF(K6="Partially Compliant",2,IF(K6="Non-Compliant",1,"")))</f>
        <v/>
      </c>
    </row>
    <row r="7" ht="120" customHeight="1">
      <c r="A7" s="27" t="inlineStr">
        <is>
          <t>RIM-1</t>
        </is>
      </c>
      <c r="B7" s="28" t="inlineStr">
        <is>
          <t>BCM Programme for Market Operations</t>
        </is>
      </c>
      <c r="C7" s="28" t="inlineStr">
        <is>
          <t>Coordination with market operators and clearing houses</t>
        </is>
      </c>
      <c r="D7" s="28" t="inlineStr">
        <is>
          <t>1. Obtain records of coordination with Bursa Malaysia, clearing houses, and central depository for business continuity planning.
2. Verify that agreed communication protocols exist for notifying market operators during a disruption event.
3. Review whether the entity participates in joint BCP planning or tabletop exercises with market infrastructure providers.
4. Interview the BCM Manager to assess the maturity of coordination relationships and any gaps identified.</t>
        </is>
      </c>
      <c r="E7" s="28" t="inlineStr">
        <is>
          <t>Coordination records with Bursa Malaysia and clearing houses; agreed communication protocols; joint exercise participation records</t>
        </is>
      </c>
      <c r="F7" s="29" t="inlineStr">
        <is>
          <t>Inspection / Inquiry</t>
        </is>
      </c>
      <c r="G7" s="26" t="inlineStr"/>
      <c r="H7" s="26" t="inlineStr"/>
      <c r="I7" s="26" t="inlineStr"/>
      <c r="J7" s="26" t="inlineStr"/>
      <c r="K7" s="26" t="inlineStr"/>
      <c r="L7" s="26" t="inlineStr"/>
      <c r="M7">
        <f>IF(K7="Compliant",3,IF(K7="Partially Compliant",2,IF(K7="Non-Compliant",1,"")))</f>
        <v/>
      </c>
    </row>
    <row r="8" ht="120" customHeight="1">
      <c r="A8" s="24" t="inlineStr">
        <is>
          <t>RIM-1</t>
        </is>
      </c>
      <c r="B8" s="11" t="inlineStr">
        <is>
          <t>BCM Programme for Market Operations</t>
        </is>
      </c>
      <c r="C8" s="11" t="inlineStr">
        <is>
          <t>BCP review cycle and continuous improvement</t>
        </is>
      </c>
      <c r="D8" s="11" t="inlineStr">
        <is>
          <t>1. Obtain the BCP review schedule and verify the plan has been reviewed at least annually (per sampling methodology) or after significant incidents, organisational changes, or DR test findings.
2. Review the change log for the BCP document to confirm updates reflect lessons learned from tests, incidents, and regulatory changes.
3. Interview the BCM Manager or COO to understand how lessons from actual disruptions and DR exercises are incorporated into the BCP.
4. Verify that BCP review outcomes are reported to senior management or the board.</t>
        </is>
      </c>
      <c r="E8" s="11" t="inlineStr">
        <is>
          <t>BCP review schedule and change log; board or management reporting on BCP reviews; evidence of updates post-incident or post-exercise</t>
        </is>
      </c>
      <c r="F8" s="25" t="inlineStr">
        <is>
          <t>Inspection / Inquiry</t>
        </is>
      </c>
      <c r="G8" s="26" t="inlineStr"/>
      <c r="H8" s="26" t="inlineStr"/>
      <c r="I8" s="26" t="inlineStr"/>
      <c r="J8" s="26" t="inlineStr"/>
      <c r="K8" s="26" t="inlineStr"/>
      <c r="L8" s="26" t="inlineStr"/>
      <c r="M8">
        <f>IF(K8="Compliant",3,IF(K8="Partially Compliant",2,IF(K8="Non-Compliant",1,"")))</f>
        <v/>
      </c>
    </row>
    <row r="9" ht="24" customHeight="1">
      <c r="A9" s="22" t="inlineStr">
        <is>
          <t>RIM-2 — Trading System Resilience [CRITICAL]</t>
        </is>
      </c>
    </row>
    <row r="10" ht="72" customHeight="1">
      <c r="A10" s="23" t="inlineStr">
        <is>
          <t>PURPOSE: SC-GL/6-2023 requires resilient trading infrastructure because intermediary system failures can disrupt market access for investors and impair orderly price discovery. Trading system resilience ensures continuous order execution capability and prevents intermediary-level outages from cascading into broader market disruption.
EXPECTATION: The assessor should find documented redundant trading architecture with active failover capability, capacity planning for high-volatility scenarios, tested alternative trading channels, and real-time monitoring with automated alerting. Failover tests should demonstrate achievement of RTO targets under realistic mid-session failure conditions.
KEY RISK: Trading system failure during market hours results in inability to execute client orders, manage open positions, or meet margin obligations — exposing the intermediary to client losses, regulatory penalties, and potential forced position liquidation by the exchange.</t>
        </is>
      </c>
    </row>
    <row r="11" ht="120" customHeight="1">
      <c r="A11" s="27" t="inlineStr">
        <is>
          <t>RIM-2</t>
        </is>
      </c>
      <c r="B11" s="28" t="inlineStr">
        <is>
          <t>Trading System Resilience</t>
        </is>
      </c>
      <c r="C11" s="28" t="inlineStr">
        <is>
          <t>Redundant trading infrastructure</t>
        </is>
      </c>
      <c r="D11" s="28" t="inlineStr">
        <is>
          <t>1. Obtain the trading system architecture documentation, including network diagrams and infrastructure design.
2. Verify that the architecture employs redundancy at each critical layer — servers, databases, network paths, and trading venue connectivity.
3. Confirm whether the design is active-active or active-passive, and determine the rationale for the chosen configuration.
4. Review whether order management systems (OMS) and market data feeds have redundant pathways to Bursa Malaysia.</t>
        </is>
      </c>
      <c r="E11" s="28" t="inlineStr">
        <is>
          <t>Trading system architecture diagrams; infrastructure design documentation; redundancy configuration details for OMS, market data, and venue connectivity</t>
        </is>
      </c>
      <c r="F11" s="29" t="inlineStr">
        <is>
          <t>Inspection</t>
        </is>
      </c>
      <c r="G11" s="26" t="inlineStr"/>
      <c r="H11" s="26" t="inlineStr"/>
      <c r="I11" s="26" t="inlineStr"/>
      <c r="J11" s="26" t="inlineStr"/>
      <c r="K11" s="26" t="inlineStr"/>
      <c r="L11" s="26" t="inlineStr"/>
      <c r="M11">
        <f>IF(K11="Compliant",3,IF(K11="Partially Compliant",2,IF(K11="Non-Compliant",1,"")))</f>
        <v/>
      </c>
    </row>
    <row r="12" ht="120" customHeight="1">
      <c r="A12" s="24" t="inlineStr">
        <is>
          <t>RIM-2</t>
        </is>
      </c>
      <c r="B12" s="11" t="inlineStr">
        <is>
          <t>Trading System Resilience</t>
        </is>
      </c>
      <c r="C12" s="11" t="inlineStr">
        <is>
          <t>Failover capability and testing</t>
        </is>
      </c>
      <c r="D12" s="11" t="inlineStr">
        <is>
          <t>1. Obtain failover test reports from the last 12 months (per sampling methodology) for primary trading systems.
2. Review test objectives, measured failover times, and whether failover completed within defined RTO targets.
3. Verify that failover testing included realistic scenarios — mid-session failure during market hours, database replication switchover, and market data feed failover.
4. Confirm that issues identified during failover tests have been remediated and retested.</t>
        </is>
      </c>
      <c r="E12" s="11" t="inlineStr">
        <is>
          <t>Failover test reports (last 12 months); test results against RTO targets; issue remediation records from failover tests</t>
        </is>
      </c>
      <c r="F12" s="25" t="inlineStr">
        <is>
          <t>Inspection</t>
        </is>
      </c>
      <c r="G12" s="26" t="inlineStr"/>
      <c r="H12" s="26" t="inlineStr"/>
      <c r="I12" s="26" t="inlineStr"/>
      <c r="J12" s="26" t="inlineStr"/>
      <c r="K12" s="26" t="inlineStr"/>
      <c r="L12" s="26" t="inlineStr"/>
      <c r="M12">
        <f>IF(K12="Compliant",3,IF(K12="Partially Compliant",2,IF(K12="Non-Compliant",1,"")))</f>
        <v/>
      </c>
    </row>
    <row r="13" ht="120" customHeight="1">
      <c r="A13" s="27" t="inlineStr">
        <is>
          <t>RIM-2</t>
        </is>
      </c>
      <c r="B13" s="28" t="inlineStr">
        <is>
          <t>Trading System Resilience</t>
        </is>
      </c>
      <c r="C13" s="28" t="inlineStr">
        <is>
          <t>Capacity planning for market volatility</t>
        </is>
      </c>
      <c r="D13" s="28" t="inlineStr">
        <is>
          <t>1. Obtain capacity planning documentation for trading systems.
2. Verify that capacity thresholds are defined with headroom for high-volatility scenarios (e.g., 2x-3x normal trading volume).
3. Review monitoring data or capacity reports from the last 12 months (per sampling methodology) to confirm peak utilisation levels and remaining headroom.
4. Determine whether capacity planning accounts for Bursa Malaysia market structure changes, new product launches, or anticipated volume increases.</t>
        </is>
      </c>
      <c r="E13" s="28" t="inlineStr">
        <is>
          <t>Capacity planning documentation; capacity utilisation reports (last 12 months); headroom calculations for peak trading scenarios</t>
        </is>
      </c>
      <c r="F13" s="29" t="inlineStr">
        <is>
          <t>Inspection</t>
        </is>
      </c>
      <c r="G13" s="26" t="inlineStr"/>
      <c r="H13" s="26" t="inlineStr"/>
      <c r="I13" s="26" t="inlineStr"/>
      <c r="J13" s="26" t="inlineStr"/>
      <c r="K13" s="26" t="inlineStr"/>
      <c r="L13" s="26" t="inlineStr"/>
      <c r="M13">
        <f>IF(K13="Compliant",3,IF(K13="Partially Compliant",2,IF(K13="Non-Compliant",1,"")))</f>
        <v/>
      </c>
    </row>
    <row r="14" ht="120" customHeight="1">
      <c r="A14" s="24" t="inlineStr">
        <is>
          <t>RIM-2</t>
        </is>
      </c>
      <c r="B14" s="11" t="inlineStr">
        <is>
          <t>Trading System Resilience</t>
        </is>
      </c>
      <c r="C14" s="11" t="inlineStr">
        <is>
          <t>Alternative trading channels</t>
        </is>
      </c>
      <c r="D14" s="11" t="inlineStr">
        <is>
          <t>1. Obtain documentation of alternative trading channels or manual order submission procedures available when primary systems are unavailable.
2. Verify that alternative channels allow the entity to manage open positions, submit essential orders, and communicate with Bursa Malaysia during primary system outages.
3. Review whether alternative channel procedures have been tested within the last 12 months (per sampling methodology), including test results.
4. Interview the Head of Trading Technology to confirm staff are trained on alternative channel procedures.</t>
        </is>
      </c>
      <c r="E14" s="11" t="inlineStr">
        <is>
          <t>Alternative trading channel procedures; test records for alternative channels (last 12 months); staff training records</t>
        </is>
      </c>
      <c r="F14" s="25" t="inlineStr">
        <is>
          <t>Inspection / Inquiry</t>
        </is>
      </c>
      <c r="G14" s="26" t="inlineStr"/>
      <c r="H14" s="26" t="inlineStr"/>
      <c r="I14" s="26" t="inlineStr"/>
      <c r="J14" s="26" t="inlineStr"/>
      <c r="K14" s="26" t="inlineStr"/>
      <c r="L14" s="26" t="inlineStr"/>
      <c r="M14">
        <f>IF(K14="Compliant",3,IF(K14="Partially Compliant",2,IF(K14="Non-Compliant",1,"")))</f>
        <v/>
      </c>
    </row>
    <row r="15" ht="120" customHeight="1">
      <c r="A15" s="27" t="inlineStr">
        <is>
          <t>RIM-2</t>
        </is>
      </c>
      <c r="B15" s="28" t="inlineStr">
        <is>
          <t>Trading System Resilience</t>
        </is>
      </c>
      <c r="C15" s="28" t="inlineStr">
        <is>
          <t>Real-time monitoring and automated alerting</t>
        </is>
      </c>
      <c r="D15" s="28" t="inlineStr">
        <is>
          <t>1. Review real-time health monitoring configuration for trading systems, including monitored parameters (latency, throughput, error rates, connectivity status).
2. Verify that automated alerts are configured to trigger when trading system health degrades beyond defined thresholds.
3. Confirm that alerting covers market data feed latency and trading venue connectivity status.
4. Obtain alert records from the last 30 days (per sampling methodology for continuous monitoring) and verify appropriate response and escalation occurred. Select 15 alert events (per sampling methodology — high risk, population 100+) and trace each from trigger through to resolution.</t>
        </is>
      </c>
      <c r="E15" s="28" t="inlineStr">
        <is>
          <t>Monitoring dashboard configuration; alert threshold definitions; alert records and response logs (last 30 days); resolution records for sampled alerts</t>
        </is>
      </c>
      <c r="F15" s="29" t="inlineStr">
        <is>
          <t>Inspection</t>
        </is>
      </c>
      <c r="G15" s="26" t="inlineStr"/>
      <c r="H15" s="26" t="inlineStr"/>
      <c r="I15" s="26" t="inlineStr"/>
      <c r="J15" s="26" t="inlineStr"/>
      <c r="K15" s="26" t="inlineStr"/>
      <c r="L15" s="26" t="inlineStr"/>
      <c r="M15">
        <f>IF(K15="Compliant",3,IF(K15="Partially Compliant",2,IF(K15="Non-Compliant",1,"")))</f>
        <v/>
      </c>
    </row>
    <row r="16" ht="24" customHeight="1">
      <c r="A16" s="30" t="inlineStr">
        <is>
          <t>RIM-3 — DR Testing Programme</t>
        </is>
      </c>
    </row>
    <row r="17" ht="72" customHeight="1">
      <c r="A17" s="23" t="inlineStr">
        <is>
          <t>PURPOSE: SC-GL/6-2023 requires regular DR testing to validate that recovery capabilities actually work under realistic conditions, not just on paper. DR testing provides assurance that capital market systems can be recovered within stated RTO/RPO targets and that recovery procedures remain current.
EXPECTATION: The assessor should find a structured annual DR test programme covering all critical capital market systems, with defined success criteria, realistic failure scenarios (including data corruption and multi-system failure), and documented results. Industry DR exercise participation with Bursa Malaysia or SC Malaysia should be evidenced.
KEY RISK: Untested DR plans create false confidence — the intermediary may discover recovery gaps only during an actual disruption, when it is too late to prevent extended outages affecting trading, settlement, and regulatory obligations.</t>
        </is>
      </c>
    </row>
    <row r="18" ht="120" customHeight="1">
      <c r="A18" s="24" t="inlineStr">
        <is>
          <t>RIM-3</t>
        </is>
      </c>
      <c r="B18" s="11" t="inlineStr">
        <is>
          <t>DR Testing Programme</t>
        </is>
      </c>
      <c r="C18" s="11" t="inlineStr">
        <is>
          <t>DR test programme and schedule</t>
        </is>
      </c>
      <c r="D18" s="11" t="inlineStr">
        <is>
          <t>1. Obtain the current-year DR test plan and verify it covers all critical capital market systems (trading, clearing, settlement, market data).
2. Review test objectives and scenarios to confirm they include realistic failure conditions — not just basic switchover but also data corruption, simultaneous multi-system failure, and prolonged outage scenarios.
3. Verify that success criteria are defined for each test, including RTO/RPO achievement and data integrity verification.
4. Confirm that the DR test schedule accounts for market calendar constraints (avoiding testing during peak trading periods without appropriate controls).</t>
        </is>
      </c>
      <c r="E18" s="11" t="inlineStr">
        <is>
          <t>Current-year DR test plan; test scenario descriptions with success criteria; DR test schedule</t>
        </is>
      </c>
      <c r="F18" s="25" t="inlineStr">
        <is>
          <t>Inspection</t>
        </is>
      </c>
      <c r="G18" s="26" t="inlineStr"/>
      <c r="H18" s="26" t="inlineStr"/>
      <c r="I18" s="26" t="inlineStr"/>
      <c r="J18" s="26" t="inlineStr"/>
      <c r="K18" s="26" t="inlineStr"/>
      <c r="L18" s="26" t="inlineStr"/>
      <c r="M18">
        <f>IF(K18="Compliant",3,IF(K18="Partially Compliant",2,IF(K18="Non-Compliant",1,"")))</f>
        <v/>
      </c>
    </row>
    <row r="19" ht="120" customHeight="1">
      <c r="A19" s="27" t="inlineStr">
        <is>
          <t>RIM-3</t>
        </is>
      </c>
      <c r="B19" s="28" t="inlineStr">
        <is>
          <t>DR Testing Programme</t>
        </is>
      </c>
      <c r="C19" s="28" t="inlineStr">
        <is>
          <t>Industry DR exercise participation</t>
        </is>
      </c>
      <c r="D19" s="28" t="inlineStr">
        <is>
          <t>1. Obtain records of participation in industry-wide DR exercises coordinated by SC Malaysia or Bursa Malaysia within the last 12 months (per sampling methodology for annual processes).
2. Review the entity's role and scope of participation in the exercise.
3. Verify that findings from the industry exercise were documented and any gaps identified were addressed.
4. Interview the BCM Manager to understand how the entity prepares for industry exercises and incorporates findings.</t>
        </is>
      </c>
      <c r="E19" s="28" t="inlineStr">
        <is>
          <t>Industry DR exercise participation records (last 12 months); exercise findings and the entity's follow-up actions; correspondence with SC or Bursa regarding exercises</t>
        </is>
      </c>
      <c r="F19" s="29" t="inlineStr">
        <is>
          <t>Inspection / Inquiry</t>
        </is>
      </c>
      <c r="G19" s="26" t="inlineStr"/>
      <c r="H19" s="26" t="inlineStr"/>
      <c r="I19" s="26" t="inlineStr"/>
      <c r="J19" s="26" t="inlineStr"/>
      <c r="K19" s="26" t="inlineStr"/>
      <c r="L19" s="26" t="inlineStr"/>
      <c r="M19">
        <f>IF(K19="Compliant",3,IF(K19="Partially Compliant",2,IF(K19="Non-Compliant",1,"")))</f>
        <v/>
      </c>
    </row>
    <row r="20" ht="120" customHeight="1">
      <c r="A20" s="24" t="inlineStr">
        <is>
          <t>RIM-3</t>
        </is>
      </c>
      <c r="B20" s="11" t="inlineStr">
        <is>
          <t>DR Testing Programme</t>
        </is>
      </c>
      <c r="C20" s="11" t="inlineStr">
        <is>
          <t>Data recovery and integrity testing</t>
        </is>
      </c>
      <c r="D20" s="11" t="inlineStr">
        <is>
          <t>1. Obtain DR test reports from the last 12 months (per sampling methodology for annual processes) and identify the data recovery component of each test.
2. Verify that data recovery tests include integrity validation — reconciliation of restored data against source records, verification of transaction completeness, and confirmation of no data loss beyond defined RPO.
3. Review whether backup restoration was tested for critical databases including trade records, settlement instructions, and client account data.
4. Confirm that data recovery times achieved are within the defined RPO for each system.</t>
        </is>
      </c>
      <c r="E20" s="11" t="inlineStr">
        <is>
          <t>DR test reports with data recovery results (last 12 months); data integrity reconciliation reports; RPO achievement records</t>
        </is>
      </c>
      <c r="F20" s="25" t="inlineStr">
        <is>
          <t>Inspection</t>
        </is>
      </c>
      <c r="G20" s="26" t="inlineStr"/>
      <c r="H20" s="26" t="inlineStr"/>
      <c r="I20" s="26" t="inlineStr"/>
      <c r="J20" s="26" t="inlineStr"/>
      <c r="K20" s="26" t="inlineStr"/>
      <c r="L20" s="26" t="inlineStr"/>
      <c r="M20">
        <f>IF(K20="Compliant",3,IF(K20="Partially Compliant",2,IF(K20="Non-Compliant",1,"")))</f>
        <v/>
      </c>
    </row>
    <row r="21" ht="120" customHeight="1">
      <c r="A21" s="27" t="inlineStr">
        <is>
          <t>RIM-3</t>
        </is>
      </c>
      <c r="B21" s="28" t="inlineStr">
        <is>
          <t>DR Testing Programme</t>
        </is>
      </c>
      <c r="C21" s="28" t="inlineStr">
        <is>
          <t>DR test gap remediation</t>
        </is>
      </c>
      <c r="D21" s="28" t="inlineStr">
        <is>
          <t>1. Obtain the DR test gap remediation tracker.
2. Verify that all issues identified in DR tests from the last 12 months (per sampling methodology for annual processes) are logged with assigned owners, severity ratings, and target remediation dates.
3. Select 5 remediation items (per sampling methodology — standard risk, population 6-15) and review closure evidence to confirm gaps were actually resolved.
4. Determine whether any critical or high-severity DR gaps remain open beyond their target dates and review escalation actions.</t>
        </is>
      </c>
      <c r="E21" s="28" t="inlineStr">
        <is>
          <t>DR gap remediation tracker; closure evidence for sampled items; escalation records for overdue items</t>
        </is>
      </c>
      <c r="F21" s="29" t="inlineStr">
        <is>
          <t>Inspection</t>
        </is>
      </c>
      <c r="G21" s="26" t="inlineStr"/>
      <c r="H21" s="26" t="inlineStr"/>
      <c r="I21" s="26" t="inlineStr"/>
      <c r="J21" s="26" t="inlineStr"/>
      <c r="K21" s="26" t="inlineStr"/>
      <c r="L21" s="26" t="inlineStr"/>
      <c r="M21">
        <f>IF(K21="Compliant",3,IF(K21="Partially Compliant",2,IF(K21="Non-Compliant",1,"")))</f>
        <v/>
      </c>
    </row>
    <row r="22" ht="24" customHeight="1">
      <c r="A22" s="30" t="inlineStr">
        <is>
          <t>RIM-4 — Settlement Continuity</t>
        </is>
      </c>
    </row>
    <row r="23" ht="72" customHeight="1">
      <c r="A23" s="23" t="inlineStr">
        <is>
          <t>PURPOSE: SC-GL/6-2023 requires settlement continuity arrangements because failure to settle within the T+2 cycle can trigger counterparty defaults, fails charges, and systemic risk across the capital market. Alternative settlement procedures ensure the intermediary can fulfill settlement obligations even during technology failures.
EXPECTATION: The assessor should find documented alternative settlement procedures with defined manual processing capacity, tested fallback mechanisms, current coordination arrangements with Bursa Malaysia Depository, and post-recovery reconciliation procedures. Manual fallback should have been tested with realistic settlement volumes.
KEY RISK: Settlement failure cascades into counterparty defaults and market-wide settlement disruption, resulting in fails penalties, client financial losses, and potential regulatory intervention including suspension of market participation.</t>
        </is>
      </c>
    </row>
    <row r="24" ht="120" customHeight="1">
      <c r="A24" s="24" t="inlineStr">
        <is>
          <t>RIM-4</t>
        </is>
      </c>
      <c r="B24" s="11" t="inlineStr">
        <is>
          <t>Settlement Continuity</t>
        </is>
      </c>
      <c r="C24" s="11" t="inlineStr">
        <is>
          <t>Alternative settlement procedures</t>
        </is>
      </c>
      <c r="D24" s="11" t="inlineStr">
        <is>
          <t>1. Obtain documented alternative settlement procedures for use during technology system failures.
2. Verify the procedures cover manual processing of settlement instructions, reconciliation steps, and re-entry into automated systems after recovery.
3. Review whether the procedures define the maximum settlement volume that can be processed manually within a T+2 settlement cycle.
4. Confirm the alternative procedures were reviewed and updated within the last 12 months (per sampling methodology for annual processes).</t>
        </is>
      </c>
      <c r="E24" s="11" t="inlineStr">
        <is>
          <t>Alternative settlement procedures document; manual capacity assessment; procedure review/approval records (last 12 months)</t>
        </is>
      </c>
      <c r="F24" s="25" t="inlineStr">
        <is>
          <t>Inspection</t>
        </is>
      </c>
      <c r="G24" s="26" t="inlineStr"/>
      <c r="H24" s="26" t="inlineStr"/>
      <c r="I24" s="26" t="inlineStr"/>
      <c r="J24" s="26" t="inlineStr"/>
      <c r="K24" s="26" t="inlineStr"/>
      <c r="L24" s="26" t="inlineStr"/>
      <c r="M24">
        <f>IF(K24="Compliant",3,IF(K24="Partially Compliant",2,IF(K24="Non-Compliant",1,"")))</f>
        <v/>
      </c>
    </row>
    <row r="25" ht="120" customHeight="1">
      <c r="A25" s="27" t="inlineStr">
        <is>
          <t>RIM-4</t>
        </is>
      </c>
      <c r="B25" s="28" t="inlineStr">
        <is>
          <t>Settlement Continuity</t>
        </is>
      </c>
      <c r="C25" s="28" t="inlineStr">
        <is>
          <t>BMD and Bursa Malaysia coordination</t>
        </is>
      </c>
      <c r="D25" s="28" t="inlineStr">
        <is>
          <t>1. Obtain evidence of coordination arrangements with Bursa Malaysia Depository (BMD) for settlement continuity during disruptions.
2. Verify that agreed communication channels and escalation contacts are documented and current.
3. Review whether the entity has participated in settlement continuity planning or exercises with BMD within the last 12 months (per sampling methodology for annual processes).
4. Confirm that the entity understands BMD's own contingency procedures and how they interlock with the entity's alternative settlement process.</t>
        </is>
      </c>
      <c r="E25" s="28" t="inlineStr">
        <is>
          <t>BMD coordination arrangements; contact lists and communication channel documentation; BMD joint exercise records (last 12 months)</t>
        </is>
      </c>
      <c r="F25" s="29" t="inlineStr">
        <is>
          <t>Inspection</t>
        </is>
      </c>
      <c r="G25" s="26" t="inlineStr"/>
      <c r="H25" s="26" t="inlineStr"/>
      <c r="I25" s="26" t="inlineStr"/>
      <c r="J25" s="26" t="inlineStr"/>
      <c r="K25" s="26" t="inlineStr"/>
      <c r="L25" s="26" t="inlineStr"/>
      <c r="M25">
        <f>IF(K25="Compliant",3,IF(K25="Partially Compliant",2,IF(K25="Non-Compliant",1,"")))</f>
        <v/>
      </c>
    </row>
    <row r="26" ht="120" customHeight="1">
      <c r="A26" s="24" t="inlineStr">
        <is>
          <t>RIM-4</t>
        </is>
      </c>
      <c r="B26" s="11" t="inlineStr">
        <is>
          <t>Settlement Continuity</t>
        </is>
      </c>
      <c r="C26" s="11" t="inlineStr">
        <is>
          <t>Manual fallback testing</t>
        </is>
      </c>
      <c r="D26" s="11" t="inlineStr">
        <is>
          <t>1. Obtain test records for manual settlement fallback procedures from the last 12 months (per sampling methodology for annual processes).
2. Review the test scope — verify it included actual processing of sample settlement instructions through the manual fallback procedure.
3. Verify test results document processing times, error rates, and any issues encountered.
4. Interview the Head of Operations or Settlement Manager to confirm staff competency in executing manual fallback and understand practical constraints.</t>
        </is>
      </c>
      <c r="E26" s="11" t="inlineStr">
        <is>
          <t>Manual fallback test records (last 12 months); test results with processing times and error rates; staff competency assessments</t>
        </is>
      </c>
      <c r="F26" s="25" t="inlineStr">
        <is>
          <t>Inspection / Inquiry</t>
        </is>
      </c>
      <c r="G26" s="26" t="inlineStr"/>
      <c r="H26" s="26" t="inlineStr"/>
      <c r="I26" s="26" t="inlineStr"/>
      <c r="J26" s="26" t="inlineStr"/>
      <c r="K26" s="26" t="inlineStr"/>
      <c r="L26" s="26" t="inlineStr"/>
      <c r="M26">
        <f>IF(K26="Compliant",3,IF(K26="Partially Compliant",2,IF(K26="Non-Compliant",1,"")))</f>
        <v/>
      </c>
    </row>
    <row r="27" ht="120" customHeight="1">
      <c r="A27" s="27" t="inlineStr">
        <is>
          <t>RIM-4</t>
        </is>
      </c>
      <c r="B27" s="28" t="inlineStr">
        <is>
          <t>Settlement Continuity</t>
        </is>
      </c>
      <c r="C27" s="28" t="inlineStr">
        <is>
          <t>Communication protocols with clearing and depository participants</t>
        </is>
      </c>
      <c r="D27" s="28" t="inlineStr">
        <is>
          <t>1. Obtain documented communication protocols for notifying clearing and depository participants during settlement disruptions.
2. Verify the protocols define who communicates, to whom, through which channels, and within what timeframes.
3. Review whether communication protocols include templates or pre-drafted messages for common disruption scenarios.
4. Confirm that contact lists for clearing and depository participants are maintained and reviewed at least quarterly (per sampling methodology — last 4 quarters for board/committee records).</t>
        </is>
      </c>
      <c r="E27" s="28" t="inlineStr">
        <is>
          <t>Communication protocol documents; contact lists for clearing and depository participants; pre-drafted communication templates; contact list review records</t>
        </is>
      </c>
      <c r="F27" s="29" t="inlineStr">
        <is>
          <t>Inspection</t>
        </is>
      </c>
      <c r="G27" s="26" t="inlineStr"/>
      <c r="H27" s="26" t="inlineStr"/>
      <c r="I27" s="26" t="inlineStr"/>
      <c r="J27" s="26" t="inlineStr"/>
      <c r="K27" s="26" t="inlineStr"/>
      <c r="L27" s="26" t="inlineStr"/>
      <c r="M27">
        <f>IF(K27="Compliant",3,IF(K27="Partially Compliant",2,IF(K27="Non-Compliant",1,"")))</f>
        <v/>
      </c>
    </row>
    <row r="28" ht="120" customHeight="1">
      <c r="A28" s="24" t="inlineStr">
        <is>
          <t>RIM-4</t>
        </is>
      </c>
      <c r="B28" s="11" t="inlineStr">
        <is>
          <t>Settlement Continuity</t>
        </is>
      </c>
      <c r="C28" s="11" t="inlineStr">
        <is>
          <t>Post-recovery reconciliation</t>
        </is>
      </c>
      <c r="D28" s="11" t="inlineStr">
        <is>
          <t>1. Review documented procedures for reconciling settlement records after reverting from manual fallback to automated processing.
2. Verify reconciliation procedures address identification of discrepancies, resolution workflow, and sign-off requirements.
3. Obtain records of any actual or simulated reconciliation exercises performed after manual fallback testing.
4. Confirm that reconciliation procedures account for the T+2 settlement cycle and any penalties or fails resulting from delayed settlement.</t>
        </is>
      </c>
      <c r="E28" s="11" t="inlineStr">
        <is>
          <t>Post-recovery reconciliation procedures; reconciliation exercise records; settlement fail tracking records</t>
        </is>
      </c>
      <c r="F28" s="25" t="inlineStr">
        <is>
          <t>Inspection</t>
        </is>
      </c>
      <c r="G28" s="26" t="inlineStr"/>
      <c r="H28" s="26" t="inlineStr"/>
      <c r="I28" s="26" t="inlineStr"/>
      <c r="J28" s="26" t="inlineStr"/>
      <c r="K28" s="26" t="inlineStr"/>
      <c r="L28" s="26" t="inlineStr"/>
      <c r="M28">
        <f>IF(K28="Compliant",3,IF(K28="Partially Compliant",2,IF(K28="Non-Compliant",1,"")))</f>
        <v/>
      </c>
    </row>
    <row r="29" ht="24" customHeight="1">
      <c r="A29" s="22" t="inlineStr">
        <is>
          <t>RIM-5 — Incident Response Plan [CRITICAL]</t>
        </is>
      </c>
    </row>
    <row r="30" ht="72" customHeight="1">
      <c r="A30" s="23" t="inlineStr">
        <is>
          <t>PURPOSE: SC-GL/6-2023 requires a structured incident response plan because capital market intermediaries face technology incidents that can disrupt trading, compromise client data, or impair market operations. A well-defined IRP ensures rapid, coordinated response that minimises market impact and meets regulatory notification obligations.
EXPECTATION: The assessor should find a board-approved IRP covering all incident phases (preparation through lessons learned), a severity classification scheme calibrated to capital market impact, defined escalation procedures with market-hours awareness, a cross-functional IR team with current training, and evidence of regular tabletop exercises using capital market scenarios.
KEY RISK: Without an effective IRP, incident response is ad hoc and slow — leading to extended trading disruptions, delayed regulatory notification to the SC, uncontained data breaches, and amplified financial and reputational damage.</t>
        </is>
      </c>
    </row>
    <row r="31" ht="120" customHeight="1">
      <c r="A31" s="27" t="inlineStr">
        <is>
          <t>RIM-5</t>
        </is>
      </c>
      <c r="B31" s="28" t="inlineStr">
        <is>
          <t>Incident Response Plan</t>
        </is>
      </c>
      <c r="C31" s="28" t="inlineStr">
        <is>
          <t>IRP structure and scope</t>
        </is>
      </c>
      <c r="D31" s="28" t="inlineStr">
        <is>
          <t>1. Obtain the current incident response plan (IRP) and verify it is specific to technology incidents affecting capital market operations.
2. Review the plan structure to confirm it addresses all phases: preparation, identification, containment, eradication, recovery, and lessons learned.
3. Verify the plan defines scope boundaries — which systems, services, and scenarios are covered.
4. Confirm the IRP has been reviewed and approved by senior management within the last 12 months (per sampling methodology for annual processes).</t>
        </is>
      </c>
      <c r="E31" s="28" t="inlineStr">
        <is>
          <t>Incident response plan document; IRP approval records (last 12 months); scope definition covering capital market systems</t>
        </is>
      </c>
      <c r="F31" s="29" t="inlineStr">
        <is>
          <t>Inspection</t>
        </is>
      </c>
      <c r="G31" s="26" t="inlineStr"/>
      <c r="H31" s="26" t="inlineStr"/>
      <c r="I31" s="26" t="inlineStr"/>
      <c r="J31" s="26" t="inlineStr"/>
      <c r="K31" s="26" t="inlineStr"/>
      <c r="L31" s="26" t="inlineStr"/>
      <c r="M31">
        <f>IF(K31="Compliant",3,IF(K31="Partially Compliant",2,IF(K31="Non-Compliant",1,"")))</f>
        <v/>
      </c>
    </row>
    <row r="32" ht="120" customHeight="1">
      <c r="A32" s="24" t="inlineStr">
        <is>
          <t>RIM-5</t>
        </is>
      </c>
      <c r="B32" s="11" t="inlineStr">
        <is>
          <t>Incident Response Plan</t>
        </is>
      </c>
      <c r="C32" s="11" t="inlineStr">
        <is>
          <t>Incident classification and severity levels</t>
        </is>
      </c>
      <c r="D32" s="11" t="inlineStr">
        <is>
          <t>1. Review the incident classification scheme and verify it defines severity levels appropriate for capital market operations (e.g., P1 — trading halt or settlement failure, P2 — degraded market access, P3 — non-market-critical system issue).
2. Verify that classification criteria include market impact, client impact, regulatory notification triggers, and financial exposure.
3. Confirm that classification drives response urgency, escalation paths, and resource allocation.
4. Select 8 incident records from the last 12 months (per sampling methodology — high risk, population 16-50) and verify incidents were classified consistently with the defined scheme.</t>
        </is>
      </c>
      <c r="E32" s="11" t="inlineStr">
        <is>
          <t>Incident classification matrix; sampled incident records (last 12 months) showing classification applied; severity level definitions</t>
        </is>
      </c>
      <c r="F32" s="25" t="inlineStr">
        <is>
          <t>Inspection</t>
        </is>
      </c>
      <c r="G32" s="26" t="inlineStr"/>
      <c r="H32" s="26" t="inlineStr"/>
      <c r="I32" s="26" t="inlineStr"/>
      <c r="J32" s="26" t="inlineStr"/>
      <c r="K32" s="26" t="inlineStr"/>
      <c r="L32" s="26" t="inlineStr"/>
      <c r="M32">
        <f>IF(K32="Compliant",3,IF(K32="Partially Compliant",2,IF(K32="Non-Compliant",1,"")))</f>
        <v/>
      </c>
    </row>
    <row r="33" ht="120" customHeight="1">
      <c r="A33" s="27" t="inlineStr">
        <is>
          <t>RIM-5</t>
        </is>
      </c>
      <c r="B33" s="28" t="inlineStr">
        <is>
          <t>Incident Response Plan</t>
        </is>
      </c>
      <c r="C33" s="28" t="inlineStr">
        <is>
          <t>Escalation procedures</t>
        </is>
      </c>
      <c r="D33" s="28" t="inlineStr">
        <is>
          <t>1. Review escalation procedures within the IRP, including thresholds that trigger escalation to senior management, the board, and the SC.
2. Verify that escalation timelines are defined for each severity level and account for market trading hours.
3. Confirm that client communication protocols are defined for incidents that affect client-facing services or data.
4. Determine whether escalation procedures include out-of-hours contact arrangements for critical incidents during non-business hours.</t>
        </is>
      </c>
      <c r="E33" s="28" t="inlineStr">
        <is>
          <t>Escalation matrix with timelines per severity level; out-of-hours contact arrangements; client communication protocol</t>
        </is>
      </c>
      <c r="F33" s="29" t="inlineStr">
        <is>
          <t>Inspection</t>
        </is>
      </c>
      <c r="G33" s="26" t="inlineStr"/>
      <c r="H33" s="26" t="inlineStr"/>
      <c r="I33" s="26" t="inlineStr"/>
      <c r="J33" s="26" t="inlineStr"/>
      <c r="K33" s="26" t="inlineStr"/>
      <c r="L33" s="26" t="inlineStr"/>
      <c r="M33">
        <f>IF(K33="Compliant",3,IF(K33="Partially Compliant",2,IF(K33="Non-Compliant",1,"")))</f>
        <v/>
      </c>
    </row>
    <row r="34" ht="120" customHeight="1">
      <c r="A34" s="24" t="inlineStr">
        <is>
          <t>RIM-5</t>
        </is>
      </c>
      <c r="B34" s="11" t="inlineStr">
        <is>
          <t>Incident Response Plan</t>
        </is>
      </c>
      <c r="C34" s="11" t="inlineStr">
        <is>
          <t>IR team composition and readiness</t>
        </is>
      </c>
      <c r="D34" s="11" t="inlineStr">
        <is>
          <t>1. Obtain the incident response team roster and verify it includes representatives from IT, security, operations, compliance, legal, and communications.
2. Verify that team member contact details are current and that alternates are designated for key roles.
3. Review training records to confirm IR team members have received incident response training within the last 12 months (per sampling methodology for annual processes).
4. Interview 2 IR team members to assess awareness of their roles and the activation process.</t>
        </is>
      </c>
      <c r="E34" s="11" t="inlineStr">
        <is>
          <t>IR team roster with roles and contact details; alternate designations; IR training records (last 12 months)</t>
        </is>
      </c>
      <c r="F34" s="25" t="inlineStr">
        <is>
          <t>Inspection / Inquiry</t>
        </is>
      </c>
      <c r="G34" s="26" t="inlineStr"/>
      <c r="H34" s="26" t="inlineStr"/>
      <c r="I34" s="26" t="inlineStr"/>
      <c r="J34" s="26" t="inlineStr"/>
      <c r="K34" s="26" t="inlineStr"/>
      <c r="L34" s="26" t="inlineStr"/>
      <c r="M34">
        <f>IF(K34="Compliant",3,IF(K34="Partially Compliant",2,IF(K34="Non-Compliant",1,"")))</f>
        <v/>
      </c>
    </row>
    <row r="35" ht="120" customHeight="1">
      <c r="A35" s="27" t="inlineStr">
        <is>
          <t>RIM-5</t>
        </is>
      </c>
      <c r="B35" s="28" t="inlineStr">
        <is>
          <t>Incident Response Plan</t>
        </is>
      </c>
      <c r="C35" s="28" t="inlineStr">
        <is>
          <t>Tabletop exercises and simulations</t>
        </is>
      </c>
      <c r="D35" s="28" t="inlineStr">
        <is>
          <t>1. Obtain records of tabletop exercises or incident simulations conducted within the last 12 months (per sampling methodology for annual processes).
2. Review exercise scenarios to verify they include capital market-specific situations — ransomware during market hours, trading system compromise, settlement data corruption, DDoS on client portal.
3. Verify exercise reports document participation, decisions made, timeline of actions, and findings.
4. Confirm that improvement actions from the last 2 exercises have been tracked and implemented.</t>
        </is>
      </c>
      <c r="E35" s="28" t="inlineStr">
        <is>
          <t>Tabletop exercise records (last 12 months); exercise scenarios and reports; improvement action tracking from last 2 exercises</t>
        </is>
      </c>
      <c r="F35" s="29" t="inlineStr">
        <is>
          <t>Inspection</t>
        </is>
      </c>
      <c r="G35" s="26" t="inlineStr"/>
      <c r="H35" s="26" t="inlineStr"/>
      <c r="I35" s="26" t="inlineStr"/>
      <c r="J35" s="26" t="inlineStr"/>
      <c r="K35" s="26" t="inlineStr"/>
      <c r="L35" s="26" t="inlineStr"/>
      <c r="M35">
        <f>IF(K35="Compliant",3,IF(K35="Partially Compliant",2,IF(K35="Non-Compliant",1,"")))</f>
        <v/>
      </c>
    </row>
    <row r="36" ht="120" customHeight="1">
      <c r="A36" s="24" t="inlineStr">
        <is>
          <t>RIM-5</t>
        </is>
      </c>
      <c r="B36" s="11" t="inlineStr">
        <is>
          <t>Incident Response Plan</t>
        </is>
      </c>
      <c r="C36" s="11" t="inlineStr">
        <is>
          <t>IRP review and update cycle</t>
        </is>
      </c>
      <c r="D36" s="11" t="inlineStr">
        <is>
          <t>1. Obtain the IRP review schedule and change log.
2. Verify the plan has been reviewed at least annually (per sampling methodology) and updated after significant incidents, exercise findings, or organisational changes.
3. Review the change log to confirm updates reflect specific findings — not just date changes but substantive content revisions.
4. Confirm that the updated IRP is distributed to all IR team members and that acknowledgement of receipt is recorded.</t>
        </is>
      </c>
      <c r="E36" s="11" t="inlineStr">
        <is>
          <t>IRP review schedule and change log; distribution records with acknowledgement; evidence of substantive updates based on findings</t>
        </is>
      </c>
      <c r="F36" s="25" t="inlineStr">
        <is>
          <t>Inspection</t>
        </is>
      </c>
      <c r="G36" s="26" t="inlineStr"/>
      <c r="H36" s="26" t="inlineStr"/>
      <c r="I36" s="26" t="inlineStr"/>
      <c r="J36" s="26" t="inlineStr"/>
      <c r="K36" s="26" t="inlineStr"/>
      <c r="L36" s="26" t="inlineStr"/>
      <c r="M36">
        <f>IF(K36="Compliant",3,IF(K36="Partially Compliant",2,IF(K36="Non-Compliant",1,"")))</f>
        <v/>
      </c>
    </row>
    <row r="37" ht="24" customHeight="1">
      <c r="A37" s="22" t="inlineStr">
        <is>
          <t>RIM-6 — SC Incident Notification [CRITICAL]</t>
        </is>
      </c>
    </row>
    <row r="38" ht="72" customHeight="1">
      <c r="A38" s="23" t="inlineStr">
        <is>
          <t>PURPOSE: SC-GL/6-2023 imposes mandatory incident notification obligations on capital market intermediaries because the Securities Commission needs timely visibility into technology disruptions that could affect market operations, investor protection, or systemic stability. This control ensures the intermediary can meet notification deadlines and provide the SC with actionable information.
EXPECTATION: The assessor should find documented notification criteria aligned with SC-GL/6-2023 thresholds, a tested notification workflow with defined timelines for initial, interim, and final reporting, pre-approved notification templates, and a tracking mechanism for SC follow-up conditions. The notification process should have been validated through tabletop exercises.
KEY RISK: Failure to notify the SC within required timelines is a direct regulatory breach that can result in enforcement action, increased supervisory scrutiny, and loss of the intermediary's licence standing — independent of the underlying incident's severity.</t>
        </is>
      </c>
    </row>
    <row r="39" ht="120" customHeight="1">
      <c r="A39" s="27" t="inlineStr">
        <is>
          <t>RIM-6</t>
        </is>
      </c>
      <c r="B39" s="28" t="inlineStr">
        <is>
          <t>SC Incident Notification</t>
        </is>
      </c>
      <c r="C39" s="28" t="inlineStr">
        <is>
          <t>Notification criteria and thresholds</t>
        </is>
      </c>
      <c r="D39" s="28" t="inlineStr">
        <is>
          <t>1. Obtain the documented notification criteria that define which incidents trigger mandatory reporting to the Securities Commission Malaysia.
2. Verify the criteria are aligned with SC-GL/6-2023 requirements and cover: significant technology disruptions affecting market operations, cyber security breaches involving client data, trading system outages exceeding defined thresholds, and any incident requiring public disclosure.
3. Confirm that notification thresholds are expressed in measurable terms (e.g., outage duration, number of affected clients, financial impact).
4. Review whether the criteria have been reviewed against any updated SC guidance or circulars within the last 12 months (per sampling methodology for annual processes).</t>
        </is>
      </c>
      <c r="E39" s="28" t="inlineStr">
        <is>
          <t>SC notification criteria document aligned with SC-GL/6-2023; threshold definitions; criteria review records (last 12 months)</t>
        </is>
      </c>
      <c r="F39" s="29" t="inlineStr">
        <is>
          <t>Inspection</t>
        </is>
      </c>
      <c r="G39" s="26" t="inlineStr"/>
      <c r="H39" s="26" t="inlineStr"/>
      <c r="I39" s="26" t="inlineStr"/>
      <c r="J39" s="26" t="inlineStr"/>
      <c r="K39" s="26" t="inlineStr"/>
      <c r="L39" s="26" t="inlineStr"/>
      <c r="M39">
        <f>IF(K39="Compliant",3,IF(K39="Partially Compliant",2,IF(K39="Non-Compliant",1,"")))</f>
        <v/>
      </c>
    </row>
    <row r="40" ht="120" customHeight="1">
      <c r="A40" s="24" t="inlineStr">
        <is>
          <t>RIM-6</t>
        </is>
      </c>
      <c r="B40" s="11" t="inlineStr">
        <is>
          <t>SC Incident Notification</t>
        </is>
      </c>
      <c r="C40" s="11" t="inlineStr">
        <is>
          <t>Notification workflow and timelines</t>
        </is>
      </c>
      <c r="D40" s="11" t="inlineStr">
        <is>
          <t>1. Obtain the SC notification workflow and verify it defines end-to-end steps from incident identification to SC submission.
2. Verify that the workflow specifies timelines for initial notification, interim updates, and final incident report submission as required by SC-GL/6-2023.
3. Confirm that the workflow identifies authorised persons responsible for preparing and submitting notifications to the SC.
4. Review whether the workflow includes escalation if notification deadlines are at risk of being missed.
5. Determine whether the notification workflow has been tested through tabletop exercises within the last 12 months (per sampling methodology for annual processes).</t>
        </is>
      </c>
      <c r="E40" s="11" t="inlineStr">
        <is>
          <t>SC notification workflow document; defined timelines for initial, interim, and final reporting; authorised submitter list; tabletop test records involving SC notification</t>
        </is>
      </c>
      <c r="F40" s="25" t="inlineStr">
        <is>
          <t>Inspection</t>
        </is>
      </c>
      <c r="G40" s="26" t="inlineStr"/>
      <c r="H40" s="26" t="inlineStr"/>
      <c r="I40" s="26" t="inlineStr"/>
      <c r="J40" s="26" t="inlineStr"/>
      <c r="K40" s="26" t="inlineStr"/>
      <c r="L40" s="26" t="inlineStr"/>
      <c r="M40">
        <f>IF(K40="Compliant",3,IF(K40="Partially Compliant",2,IF(K40="Non-Compliant",1,"")))</f>
        <v/>
      </c>
    </row>
    <row r="41" ht="120" customHeight="1">
      <c r="A41" s="27" t="inlineStr">
        <is>
          <t>RIM-6</t>
        </is>
      </c>
      <c r="B41" s="28" t="inlineStr">
        <is>
          <t>SC Incident Notification</t>
        </is>
      </c>
      <c r="C41" s="28" t="inlineStr">
        <is>
          <t>Notification templates and content</t>
        </is>
      </c>
      <c r="D41" s="28" t="inlineStr">
        <is>
          <t>1. Obtain SC incident notification templates and verify they capture all required information: incident description, systems affected, market impact, client impact, containment actions taken, expected resolution timeline, and root cause (if known).
2. Verify that templates are pre-approved and readily accessible to the notification team during an incident.
3. Review any SC notifications submitted in the last 12 months (per sampling methodology for annual processes) (if any) to confirm templates were used and content was complete.
4. Confirm that templates are version-controlled and updated when SC reporting requirements change.</t>
        </is>
      </c>
      <c r="E41" s="28" t="inlineStr">
        <is>
          <t>SC incident notification templates; sample completed notifications (last 12 months, if applicable); template version control records</t>
        </is>
      </c>
      <c r="F41" s="29" t="inlineStr">
        <is>
          <t>Inspection</t>
        </is>
      </c>
      <c r="G41" s="26" t="inlineStr"/>
      <c r="H41" s="26" t="inlineStr"/>
      <c r="I41" s="26" t="inlineStr"/>
      <c r="J41" s="26" t="inlineStr"/>
      <c r="K41" s="26" t="inlineStr"/>
      <c r="L41" s="26" t="inlineStr"/>
      <c r="M41">
        <f>IF(K41="Compliant",3,IF(K41="Partially Compliant",2,IF(K41="Non-Compliant",1,"")))</f>
        <v/>
      </c>
    </row>
    <row r="42" ht="120" customHeight="1">
      <c r="A42" s="24" t="inlineStr">
        <is>
          <t>RIM-6</t>
        </is>
      </c>
      <c r="B42" s="11" t="inlineStr">
        <is>
          <t>SC Incident Notification</t>
        </is>
      </c>
      <c r="C42" s="11" t="inlineStr">
        <is>
          <t>SC follow-up and condition tracking</t>
        </is>
      </c>
      <c r="D42" s="11" t="inlineStr">
        <is>
          <t>1. Obtain the register or tracker for SC responses, queries, and conditions arising from incident notifications.
2. Review any SC follow-up items from the last 12 months (per sampling methodology for annual processes) and verify they were addressed within the required timeframes.
3. Verify that a responsible person is assigned to track each SC follow-up item through to closure.
4. Confirm that closure evidence is maintained for all resolved SC follow-up items.</t>
        </is>
      </c>
      <c r="E42" s="11" t="inlineStr">
        <is>
          <t>SC follow-up tracker; closure evidence for resolved items; records of SC correspondence (last 12 months)</t>
        </is>
      </c>
      <c r="F42" s="25" t="inlineStr">
        <is>
          <t>Inspection</t>
        </is>
      </c>
      <c r="G42" s="26" t="inlineStr"/>
      <c r="H42" s="26" t="inlineStr"/>
      <c r="I42" s="26" t="inlineStr"/>
      <c r="J42" s="26" t="inlineStr"/>
      <c r="K42" s="26" t="inlineStr"/>
      <c r="L42" s="26" t="inlineStr"/>
      <c r="M42">
        <f>IF(K42="Compliant",3,IF(K42="Partially Compliant",2,IF(K42="Non-Compliant",1,"")))</f>
        <v/>
      </c>
    </row>
    <row r="43" ht="120" customHeight="1">
      <c r="A43" s="27" t="inlineStr">
        <is>
          <t>RIM-6</t>
        </is>
      </c>
      <c r="B43" s="28" t="inlineStr">
        <is>
          <t>SC Incident Notification</t>
        </is>
      </c>
      <c r="C43" s="28" t="inlineStr">
        <is>
          <t>Notification process assurance</t>
        </is>
      </c>
      <c r="D43" s="28" t="inlineStr">
        <is>
          <t>1. Review whether the SC notification process has been independently tested or validated — through tabletop exercise, internal audit, or compliance review — within the last 12 months (per sampling methodology for annual processes).
2. Verify that the test included a scenario that triggered SC notification and measured the entity's ability to meet required timelines.
3. Confirm that findings from the assurance activity were documented and any gaps addressed.
4. Interview the Compliance Officer or CISO to assess confidence in the entity's ability to meet SC notification obligations during a real incident.</t>
        </is>
      </c>
      <c r="E43" s="28" t="inlineStr">
        <is>
          <t>Assurance review or tabletop exercise records testing SC notification; findings and remediation records; internal audit or compliance review reports</t>
        </is>
      </c>
      <c r="F43" s="29" t="inlineStr">
        <is>
          <t>Inspection / Inquiry</t>
        </is>
      </c>
      <c r="G43" s="26" t="inlineStr"/>
      <c r="H43" s="26" t="inlineStr"/>
      <c r="I43" s="26" t="inlineStr"/>
      <c r="J43" s="26" t="inlineStr"/>
      <c r="K43" s="26" t="inlineStr"/>
      <c r="L43" s="26" t="inlineStr"/>
      <c r="M43">
        <f>IF(K43="Compliant",3,IF(K43="Partially Compliant",2,IF(K43="Non-Compliant",1,"")))</f>
        <v/>
      </c>
    </row>
    <row r="44" ht="24" customHeight="1">
      <c r="A44" s="30" t="inlineStr">
        <is>
          <t>RIM-7 — Cyber Incident Coordination</t>
        </is>
      </c>
    </row>
    <row r="45" ht="72" customHeight="1">
      <c r="A45" s="23" t="inlineStr">
        <is>
          <t>PURPOSE: SC-GL/6-2023 expects capital market intermediaries to coordinate with external parties during cyber incidents because sophisticated attacks often target multiple market participants simultaneously. Effective coordination with SC Malaysia, MyCERT, Bursa Malaysia, and peer intermediaries enables faster threat containment and sector-wide defence.
EXPECTATION: The assessor should find documented external communication protocols with defined contact channels and authorised communicators, evidence of active industry working group participation, threat intelligence sharing records, and joint exercise participation within the last 24 months. Contact directories should be verified at least quarterly.
KEY RISK: Poor external coordination during a cyber incident leads to delayed threat intelligence sharing, duplicated response efforts, and inability to contain sector-wide attacks — increasing the duration and impact of incidents across the capital market.</t>
        </is>
      </c>
    </row>
    <row r="46" ht="120" customHeight="1">
      <c r="A46" s="24" t="inlineStr">
        <is>
          <t>RIM-7</t>
        </is>
      </c>
      <c r="B46" s="11" t="inlineStr">
        <is>
          <t>Cyber Incident Coordination</t>
        </is>
      </c>
      <c r="C46" s="11" t="inlineStr">
        <is>
          <t>External communication protocols</t>
        </is>
      </c>
      <c r="D46" s="11" t="inlineStr">
        <is>
          <t>1. Obtain documented communication protocols for coordinating with external parties during cyber incidents — SC Malaysia, MyCERT, Bursa Malaysia, peer intermediaries, and law enforcement.
2. Verify the protocols define: which parties to contact, under what circumstances, through which channels, within what timeframes, and who is authorised to communicate.
3. Confirm that contact details for key external coordination partners are maintained and verified at least quarterly (per sampling methodology — last 4 quarters for board/committee records).
4. Review whether the protocols distinguish between notification obligations (regulatory) and voluntary coordination (industry).</t>
        </is>
      </c>
      <c r="E46" s="11" t="inlineStr">
        <is>
          <t>External communication protocol document; contact directory for SC, MyCERT, Bursa Malaysia, and peers; contact verification records</t>
        </is>
      </c>
      <c r="F46" s="25" t="inlineStr">
        <is>
          <t>Inspection</t>
        </is>
      </c>
      <c r="G46" s="26" t="inlineStr"/>
      <c r="H46" s="26" t="inlineStr"/>
      <c r="I46" s="26" t="inlineStr"/>
      <c r="J46" s="26" t="inlineStr"/>
      <c r="K46" s="26" t="inlineStr"/>
      <c r="L46" s="26" t="inlineStr"/>
      <c r="M46">
        <f>IF(K46="Compliant",3,IF(K46="Partially Compliant",2,IF(K46="Non-Compliant",1,"")))</f>
        <v/>
      </c>
    </row>
    <row r="47" ht="120" customHeight="1">
      <c r="A47" s="27" t="inlineStr">
        <is>
          <t>RIM-7</t>
        </is>
      </c>
      <c r="B47" s="28" t="inlineStr">
        <is>
          <t>Cyber Incident Coordination</t>
        </is>
      </c>
      <c r="C47" s="28" t="inlineStr">
        <is>
          <t>Industry coordination and working group participation</t>
        </is>
      </c>
      <c r="D47" s="28" t="inlineStr">
        <is>
          <t>1. Obtain records of the entity's participation in industry incident coordination mechanisms — SC working groups, capital market CERTs, Bursa coordination forums, or Financial Services ISAC equivalents.
2. Review participation records from the last 12 months (per sampling methodology for annual processes) to assess frequency and level of engagement.
3. Verify that insights from industry coordination are fed back into the entity's incident response plans and threat intelligence.
4. Interview the CISO to assess the maturity of industry relationships and any barriers to effective coordination.</t>
        </is>
      </c>
      <c r="E47" s="28" t="inlineStr">
        <is>
          <t>Industry working group participation records (last 12 months); meeting minutes or briefing notes; evidence of insights incorporated into IRP or threat intelligence</t>
        </is>
      </c>
      <c r="F47" s="29" t="inlineStr">
        <is>
          <t>Inspection / Inquiry</t>
        </is>
      </c>
      <c r="G47" s="26" t="inlineStr"/>
      <c r="H47" s="26" t="inlineStr"/>
      <c r="I47" s="26" t="inlineStr"/>
      <c r="J47" s="26" t="inlineStr"/>
      <c r="K47" s="26" t="inlineStr"/>
      <c r="L47" s="26" t="inlineStr"/>
      <c r="M47">
        <f>IF(K47="Compliant",3,IF(K47="Partially Compliant",2,IF(K47="Non-Compliant",1,"")))</f>
        <v/>
      </c>
    </row>
    <row r="48" ht="120" customHeight="1">
      <c r="A48" s="24" t="inlineStr">
        <is>
          <t>RIM-7</t>
        </is>
      </c>
      <c r="B48" s="11" t="inlineStr">
        <is>
          <t>Cyber Incident Coordination</t>
        </is>
      </c>
      <c r="C48" s="11" t="inlineStr">
        <is>
          <t>Threat intelligence sharing</t>
        </is>
      </c>
      <c r="D48" s="11" t="inlineStr">
        <is>
          <t>1. Obtain records of threat intelligence shared with or received from SC Malaysia, MyCERT, and peer institutions within the last 12 months (per sampling methodology for annual processes).
2. Review whether shared intelligence includes indicators of compromise (IOCs), threat advisories, and sector-specific alerts relevant to capital markets.
3. Select 5 received advisories (per sampling methodology — standard risk, population 6-15) and confirm they were assessed and, where relevant, incorporated into detection rules or response plans.
4. Confirm that information sharing complies with any confidentiality or classification requirements.</t>
        </is>
      </c>
      <c r="E48" s="11" t="inlineStr">
        <is>
          <t>Threat intelligence sharing records (last 12 months); sample received advisories with evidence of action taken; confidentiality handling procedures</t>
        </is>
      </c>
      <c r="F48" s="25" t="inlineStr">
        <is>
          <t>Inspection</t>
        </is>
      </c>
      <c r="G48" s="26" t="inlineStr"/>
      <c r="H48" s="26" t="inlineStr"/>
      <c r="I48" s="26" t="inlineStr"/>
      <c r="J48" s="26" t="inlineStr"/>
      <c r="K48" s="26" t="inlineStr"/>
      <c r="L48" s="26" t="inlineStr"/>
      <c r="M48">
        <f>IF(K48="Compliant",3,IF(K48="Partially Compliant",2,IF(K48="Non-Compliant",1,"")))</f>
        <v/>
      </c>
    </row>
    <row r="49" ht="120" customHeight="1">
      <c r="A49" s="27" t="inlineStr">
        <is>
          <t>RIM-7</t>
        </is>
      </c>
      <c r="B49" s="28" t="inlineStr">
        <is>
          <t>Cyber Incident Coordination</t>
        </is>
      </c>
      <c r="C49" s="28" t="inlineStr">
        <is>
          <t>Joint exercises with coordination partners</t>
        </is>
      </c>
      <c r="D49" s="28" t="inlineStr">
        <is>
          <t>1. Obtain records of joint cyber incident exercises conducted with external coordination partners (SC, Bursa, peer intermediaries) within the last 24 months.
2. Review the scope and scenario of joint exercises to verify they tested coordination mechanisms — not just internal response.
3. Verify that findings from joint exercises were documented and improvement actions tracked.
4. Confirm that the entity's communication protocols were updated based on any coordination gaps identified.</t>
        </is>
      </c>
      <c r="E49" s="28" t="inlineStr">
        <is>
          <t>Joint exercise participation records (last 24 months); exercise reports and findings; improvement action records; protocol updates based on findings</t>
        </is>
      </c>
      <c r="F49" s="29" t="inlineStr">
        <is>
          <t>Inspection</t>
        </is>
      </c>
      <c r="G49" s="26" t="inlineStr"/>
      <c r="H49" s="26" t="inlineStr"/>
      <c r="I49" s="26" t="inlineStr"/>
      <c r="J49" s="26" t="inlineStr"/>
      <c r="K49" s="26" t="inlineStr"/>
      <c r="L49" s="26" t="inlineStr"/>
      <c r="M49">
        <f>IF(K49="Compliant",3,IF(K49="Partially Compliant",2,IF(K49="Non-Compliant",1,"")))</f>
        <v/>
      </c>
    </row>
    <row r="50" ht="24" customHeight="1">
      <c r="A50" s="30" t="inlineStr">
        <is>
          <t>RIM-8 — Incident Post-Mortem &amp; Lessons Learned</t>
        </is>
      </c>
    </row>
    <row r="51" ht="72" customHeight="1">
      <c r="A51" s="23" t="inlineStr">
        <is>
          <t>PURPOSE: SC-GL/6-2023 expects capital market intermediaries to conduct structured post-mortem reviews because recurring incidents indicate systemic control weaknesses. Post-mortem analysis and lessons-learned processes drive continuous improvement in technology risk management and prevent repetition of incidents affecting market operations.
EXPECTATION: The assessor should find a defined post-mortem process with severity-based triggers, structured root cause analysis using recognised methodologies, documented lessons learned disseminated to relevant teams, and an improvement action tracker with management reporting. Trend analysis across incidents should identify systemic issues.
KEY RISK: Without effective post-mortem processes, the intermediary fails to learn from incidents — leading to recurring disruptions, repeated regulatory findings, and progressive erosion of technology resilience and client confidence.</t>
        </is>
      </c>
    </row>
    <row r="52" ht="120" customHeight="1">
      <c r="A52" s="24" t="inlineStr">
        <is>
          <t>RIM-8</t>
        </is>
      </c>
      <c r="B52" s="11" t="inlineStr">
        <is>
          <t>Incident Post-Mortem &amp; Lessons Learned</t>
        </is>
      </c>
      <c r="C52" s="11" t="inlineStr">
        <is>
          <t>Post-mortem process and governance</t>
        </is>
      </c>
      <c r="D52" s="11" t="inlineStr">
        <is>
          <t>1. Obtain the post-mortem policy or procedure and verify it defines: when a post-mortem is required (severity threshold), the timeframe for completion after incident closure, required participants, and the output format.
2. Verify that the procedure requires involvement of relevant stakeholders beyond IT — including business operations, compliance, and risk management for incidents affecting capital market functions.
3. Confirm that post-mortem completion is tracked as a mandatory step in the incident lifecycle and that non-completion triggers escalation.
4. Review whether the post-mortem process has been approved by senior management.</t>
        </is>
      </c>
      <c r="E52" s="11" t="inlineStr">
        <is>
          <t>Post-mortem policy or procedure document; escalation rules for non-completion; management approval records</t>
        </is>
      </c>
      <c r="F52" s="25" t="inlineStr">
        <is>
          <t>Inspection</t>
        </is>
      </c>
      <c r="G52" s="26" t="inlineStr"/>
      <c r="H52" s="26" t="inlineStr"/>
      <c r="I52" s="26" t="inlineStr"/>
      <c r="J52" s="26" t="inlineStr"/>
      <c r="K52" s="26" t="inlineStr"/>
      <c r="L52" s="26" t="inlineStr"/>
      <c r="M52">
        <f>IF(K52="Compliant",3,IF(K52="Partially Compliant",2,IF(K52="Non-Compliant",1,"")))</f>
        <v/>
      </c>
    </row>
    <row r="53" ht="120" customHeight="1">
      <c r="A53" s="27" t="inlineStr">
        <is>
          <t>RIM-8</t>
        </is>
      </c>
      <c r="B53" s="28" t="inlineStr">
        <is>
          <t>Incident Post-Mortem &amp; Lessons Learned</t>
        </is>
      </c>
      <c r="C53" s="28" t="inlineStr">
        <is>
          <t>Root cause analysis</t>
        </is>
      </c>
      <c r="D53" s="28" t="inlineStr">
        <is>
          <t>1. Select 5 significant incident post-mortem reports from the last 12 months (per sampling methodology — standard risk, population 6-15).
2. Review whether each report identifies root causes (not just immediate causes or symptoms) using a structured methodology (e.g., 5-Whys, fishbone analysis, fault tree).
3. Verify that contributing factors are documented separately from root causes — including people, process, and technology factors.
4. Confirm that root cause findings are specific and actionable, not generic statements.</t>
        </is>
      </c>
      <c r="E53" s="28" t="inlineStr">
        <is>
          <t>Sampled post-mortem reports (last 12 months); root cause analysis documentation; evidence of structured methodology applied</t>
        </is>
      </c>
      <c r="F53" s="29" t="inlineStr">
        <is>
          <t>Inspection</t>
        </is>
      </c>
      <c r="G53" s="26" t="inlineStr"/>
      <c r="H53" s="26" t="inlineStr"/>
      <c r="I53" s="26" t="inlineStr"/>
      <c r="J53" s="26" t="inlineStr"/>
      <c r="K53" s="26" t="inlineStr"/>
      <c r="L53" s="26" t="inlineStr"/>
      <c r="M53">
        <f>IF(K53="Compliant",3,IF(K53="Partially Compliant",2,IF(K53="Non-Compliant",1,"")))</f>
        <v/>
      </c>
    </row>
    <row r="54" ht="120" customHeight="1">
      <c r="A54" s="24" t="inlineStr">
        <is>
          <t>RIM-8</t>
        </is>
      </c>
      <c r="B54" s="11" t="inlineStr">
        <is>
          <t>Incident Post-Mortem &amp; Lessons Learned</t>
        </is>
      </c>
      <c r="C54" s="11" t="inlineStr">
        <is>
          <t>Lessons learned capture and dissemination</t>
        </is>
      </c>
      <c r="D54" s="11" t="inlineStr">
        <is>
          <t>1. Review the sampled 5 post-mortem reports (per sampling methodology — standard risk, population 6-15) and verify that lessons learned are explicitly documented and distinguished from root causes and improvement actions.
2. Verify that lessons learned are disseminated to relevant teams — not just the incident response team but also development, operations, and business teams as appropriate.
3. Confirm that lessons learned from incidents affecting capital market operations are reported to senior management or the board.
4. Determine whether a lessons-learned repository or knowledge base is maintained and accessible to relevant personnel.</t>
        </is>
      </c>
      <c r="E54" s="11" t="inlineStr">
        <is>
          <t>Lessons learned sections in post-mortem reports; dissemination records (emails, briefings, knowledge base entries); board or management reporting of lessons learned</t>
        </is>
      </c>
      <c r="F54" s="25" t="inlineStr">
        <is>
          <t>Inspection</t>
        </is>
      </c>
      <c r="G54" s="26" t="inlineStr"/>
      <c r="H54" s="26" t="inlineStr"/>
      <c r="I54" s="26" t="inlineStr"/>
      <c r="J54" s="26" t="inlineStr"/>
      <c r="K54" s="26" t="inlineStr"/>
      <c r="L54" s="26" t="inlineStr"/>
      <c r="M54">
        <f>IF(K54="Compliant",3,IF(K54="Partially Compliant",2,IF(K54="Non-Compliant",1,"")))</f>
        <v/>
      </c>
    </row>
    <row r="55" ht="120" customHeight="1">
      <c r="A55" s="27" t="inlineStr">
        <is>
          <t>RIM-8</t>
        </is>
      </c>
      <c r="B55" s="28" t="inlineStr">
        <is>
          <t>Incident Post-Mortem &amp; Lessons Learned</t>
        </is>
      </c>
      <c r="C55" s="28" t="inlineStr">
        <is>
          <t>Improvement action tracking and trend analysis</t>
        </is>
      </c>
      <c r="D55" s="28" t="inlineStr">
        <is>
          <t>1. Obtain the improvement action tracker and verify that all actions from post-mortem reviews within the last 12 months (per sampling methodology for annual processes) are logged with assigned owners, priorities, and target completion dates.
2. Review completion rates — determine the percentage of improvement actions closed on time versus overdue.
3. Verify that trend analysis is conducted across incidents to identify recurring root causes or systemic issues.
4. Confirm that systemic findings have led to broader remediation initiatives, not just point fixes.
5. Review whether improvement action status is reported to senior management periodically.</t>
        </is>
      </c>
      <c r="E55" s="28" t="inlineStr">
        <is>
          <t>Improvement action tracker with assigned owners and target dates; trend analysis report; management reporting on improvement action status; evidence of systemic remediation initiatives</t>
        </is>
      </c>
      <c r="F55" s="29" t="inlineStr">
        <is>
          <t>Inspection</t>
        </is>
      </c>
      <c r="G55" s="26" t="inlineStr"/>
      <c r="H55" s="26" t="inlineStr"/>
      <c r="I55" s="26" t="inlineStr"/>
      <c r="J55" s="26" t="inlineStr"/>
      <c r="K55" s="26" t="inlineStr"/>
      <c r="L55" s="26" t="inlineStr"/>
      <c r="M55">
        <f>IF(K55="Compliant",3,IF(K55="Partially Compliant",2,IF(K55="Non-Compliant",1,"")))</f>
        <v/>
      </c>
    </row>
    <row r="57" ht="28" customHeight="1">
      <c r="A57" s="31" t="inlineStr">
        <is>
          <t>This work program is constructed for educational purposes. Customise for your engagement. Not legal or regulatory advice. AI-generated content — review and validate before use.</t>
        </is>
      </c>
    </row>
  </sheetData>
  <autoFilter ref="A1:L1"/>
  <mergeCells count="17">
    <mergeCell ref="A57:L57"/>
    <mergeCell ref="A30:L30"/>
    <mergeCell ref="A2:L2"/>
    <mergeCell ref="A16:L16"/>
    <mergeCell ref="A29:L29"/>
    <mergeCell ref="A10:L10"/>
    <mergeCell ref="A38:L38"/>
    <mergeCell ref="A51:L51"/>
    <mergeCell ref="A45:L45"/>
    <mergeCell ref="A23:L23"/>
    <mergeCell ref="A37:L37"/>
    <mergeCell ref="A44:L44"/>
    <mergeCell ref="A22:L22"/>
    <mergeCell ref="A17:L17"/>
    <mergeCell ref="A9:L9"/>
    <mergeCell ref="A3:L3"/>
    <mergeCell ref="A50:L50"/>
  </mergeCells>
  <dataValidations count="1">
    <dataValidation sqref="K4 K5 K6 K7 K8 K11 K12 K13 K14 K15 K18 K19 K20 K21 K24 K25 K26 K27 K28 K31 K32 K33 K34 K35 K36 K39 K40 K41 K42 K43 K46 K47 K48 K49 K52 K53 K54 K55" showDropDown="0" showInputMessage="0" showErrorMessage="0" allowBlank="1" errorTitle="Invalid Conclusion" error="Please select a valid conclusion" promptTitle="Conclusion" prompt="Select the assessment conclusion" type="list">
      <formula1>"Compliant,Partially Compliant,Non-Compliant,N/A"</formula1>
    </dataValidation>
  </dataValidations>
  <pageMargins left="0.75" right="0.75" top="1" bottom="1" header="0.5" footer="0.5"/>
</worksheet>
</file>

<file path=xl/worksheets/sheet5.xml><?xml version="1.0" encoding="utf-8"?>
<worksheet xmlns="http://schemas.openxmlformats.org/spreadsheetml/2006/main">
  <sheetPr>
    <tabColor rgb="0027AE60"/>
    <outlinePr summaryBelow="1" summaryRight="1"/>
    <pageSetUpPr/>
  </sheetPr>
  <dimension ref="A1:M50"/>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4" customWidth="1" min="3" max="3"/>
    <col width="48" customWidth="1" min="4" max="4"/>
    <col width="36" customWidth="1" min="5" max="5"/>
    <col width="14" customWidth="1" min="6" max="6"/>
    <col width="30" customWidth="1" min="7" max="7"/>
    <col width="24" customWidth="1" min="8" max="8"/>
    <col width="12" customWidth="1" min="9" max="9"/>
    <col width="30" customWidth="1" min="10" max="10"/>
    <col width="14" customWidth="1" min="11" max="11"/>
    <col width="30" customWidth="1" min="12" max="12"/>
    <col hidden="1" width="13" customWidth="1" min="13" max="13"/>
  </cols>
  <sheetData>
    <row r="1" ht="28" customHeight="1">
      <c r="A1" s="20" t="inlineStr">
        <is>
          <t>Ref</t>
        </is>
      </c>
      <c r="B1" s="20" t="inlineStr">
        <is>
          <t>Control</t>
        </is>
      </c>
      <c r="C1" s="20" t="inlineStr">
        <is>
          <t>Sub-Procedure</t>
        </is>
      </c>
      <c r="D1" s="20" t="inlineStr">
        <is>
          <t>Assessment Procedures</t>
        </is>
      </c>
      <c r="E1" s="20" t="inlineStr">
        <is>
          <t>Expected Evidence</t>
        </is>
      </c>
      <c r="F1" s="20" t="inlineStr">
        <is>
          <t>Method</t>
        </is>
      </c>
      <c r="G1" s="20" t="inlineStr">
        <is>
          <t>Procedures Performed</t>
        </is>
      </c>
      <c r="H1" s="20" t="inlineStr">
        <is>
          <t>Evidence Obtained</t>
        </is>
      </c>
      <c r="I1" s="20" t="inlineStr">
        <is>
          <t>Evidence Ref</t>
        </is>
      </c>
      <c r="J1" s="20" t="inlineStr">
        <is>
          <t>Observation / Findings</t>
        </is>
      </c>
      <c r="K1" s="20" t="inlineStr">
        <is>
          <t>Conclusion</t>
        </is>
      </c>
      <c r="L1" s="20" t="inlineStr">
        <is>
          <t>Recommendations</t>
        </is>
      </c>
      <c r="M1" s="21" t="inlineStr">
        <is>
          <t>Score</t>
        </is>
      </c>
    </row>
    <row r="2" ht="24" customHeight="1">
      <c r="A2" s="30" t="inlineStr">
        <is>
          <t>TPC-1 — Third-Party Risk Assessment</t>
        </is>
      </c>
    </row>
    <row r="3" ht="72" customHeight="1">
      <c r="A3" s="23" t="inlineStr">
        <is>
          <t>PURPOSE: SC-GL/6-2023 requires capital market intermediaries to assess and manage third-party technology risks because outsourced services supporting trading, clearing, and settlement carry the same operational risk as in-house systems. Vendor risk assessment ensures the intermediary understands and controls risks introduced through its technology supply chain.
EXPECTATION: The assessor should find a documented vendor risk tiering methodology that differentiates capital market-specific categories (exchange connectivity, market data, clearing interfaces), completed due diligence assessments for critical vendors with security posture validation, ongoing risk monitoring proportionate to tier, and annual reassessments with year-over-year trend analysis.
KEY RISK: Unassessed third-party risks can materialise as trading system outages, client data breaches, or settlement failures originating from vendor infrastructure — for which the intermediary remains fully accountable to the SC regardless of the outsourcing arrangement.</t>
        </is>
      </c>
    </row>
    <row r="4" ht="120" customHeight="1">
      <c r="A4" s="24" t="inlineStr">
        <is>
          <t>TPC-1</t>
        </is>
      </c>
      <c r="B4" s="11" t="inlineStr">
        <is>
          <t>Third-Party Risk Assessment</t>
        </is>
      </c>
      <c r="C4" s="11" t="inlineStr">
        <is>
          <t>Vendor risk tiering methodology</t>
        </is>
      </c>
      <c r="D4" s="11" t="inlineStr">
        <is>
          <t>1. Obtain the vendor risk tiering methodology and classification criteria, confirming it addresses service criticality, data access (client PII, market data), and capital market system dependencies (trading platforms, exchange connectivity, clearing interfaces).
2. Verify that tiering criteria differentiate between vendors with access to client data under PDPA, vendors providing market data feeds, and vendors supporting non-critical functions.
3. Review the complete third-party register and confirm all technology service providers are classified by risk tier.
4. Determine whether the tiering methodology has been reviewed and approved within the last 12 months (per sampling methodology for annual processes).</t>
        </is>
      </c>
      <c r="E4" s="11" t="inlineStr">
        <is>
          <t>Vendor risk tiering methodology document; Third-party technology service provider register with tier classifications; Board or management approval of tiering criteria; Criteria mapping for capital market-specific vendor categories</t>
        </is>
      </c>
      <c r="F4" s="25" t="inlineStr">
        <is>
          <t>Inspection</t>
        </is>
      </c>
      <c r="G4" s="26" t="inlineStr"/>
      <c r="H4" s="26" t="inlineStr"/>
      <c r="I4" s="26" t="inlineStr"/>
      <c r="J4" s="26" t="inlineStr"/>
      <c r="K4" s="26" t="inlineStr"/>
      <c r="L4" s="26" t="inlineStr"/>
      <c r="M4">
        <f>IF(K4="Compliant",3,IF(K4="Partially Compliant",2,IF(K4="Non-Compliant",1,"")))</f>
        <v/>
      </c>
    </row>
    <row r="5" ht="120" customHeight="1">
      <c r="A5" s="27" t="inlineStr">
        <is>
          <t>TPC-1</t>
        </is>
      </c>
      <c r="B5" s="28" t="inlineStr">
        <is>
          <t>Third-Party Risk Assessment</t>
        </is>
      </c>
      <c r="C5" s="28" t="inlineStr">
        <is>
          <t>Due diligence process for critical vendors</t>
        </is>
      </c>
      <c r="D5" s="28" t="inlineStr">
        <is>
          <t>1. Obtain the due diligence procedures for onboarding new third-party technology providers and confirm they define assessment depth by risk tier.
2. Select 5 critical-tier vendors (per sampling methodology — standard risk, population 6-15), including at least one market data provider or exchange connectivity provider, and review the due diligence assessments conducted at onboarding.
3. Verify that due diligence for critical vendors includes financial stability checks, information security capability assessment, regulatory compliance status, and business continuity arrangements.
4. Confirm that due diligence findings were formally accepted or resulted in documented risk treatment before vendor engagement.</t>
        </is>
      </c>
      <c r="E5" s="28" t="inlineStr">
        <is>
          <t>Vendor due diligence procedures; Due diligence assessment reports for sampled vendors; Financial stability and credit checks; Risk acceptance or treatment records for identified findings</t>
        </is>
      </c>
      <c r="F5" s="29" t="inlineStr">
        <is>
          <t>Inspection</t>
        </is>
      </c>
      <c r="G5" s="26" t="inlineStr"/>
      <c r="H5" s="26" t="inlineStr"/>
      <c r="I5" s="26" t="inlineStr"/>
      <c r="J5" s="26" t="inlineStr"/>
      <c r="K5" s="26" t="inlineStr"/>
      <c r="L5" s="26" t="inlineStr"/>
      <c r="M5">
        <f>IF(K5="Compliant",3,IF(K5="Partially Compliant",2,IF(K5="Non-Compliant",1,"")))</f>
        <v/>
      </c>
    </row>
    <row r="6" ht="120" customHeight="1">
      <c r="A6" s="24" t="inlineStr">
        <is>
          <t>TPC-1</t>
        </is>
      </c>
      <c r="B6" s="11" t="inlineStr">
        <is>
          <t>Third-Party Risk Assessment</t>
        </is>
      </c>
      <c r="C6" s="11" t="inlineStr">
        <is>
          <t>Vendor security posture assessment</t>
        </is>
      </c>
      <c r="D6" s="11" t="inlineStr">
        <is>
          <t>1. For the same sample of 5 critical-tier vendors (per sampling methodology), obtain evidence of security posture assessment conducted (security questionnaires, independent security reviews, or assurance reports).
2. Verify that vendors with access to client data or market systems have provided current SOC 2 Type II reports, ISO 27001 certificates, or equivalent independent assurance.
3. Review how assurance report findings (particularly complementary user entity controls) are assessed for relevance to the entity's risk profile.
4. Confirm that vendors providing trading platform services or exchange connectivity have undergone security assessments covering system availability and data integrity.</t>
        </is>
      </c>
      <c r="E6" s="11" t="inlineStr">
        <is>
          <t>Completed vendor security questionnaires; SOC 2 Type II reports or ISO 27001 certificates for critical vendors; Security assessment reports for trading system vendors; Assurance report gap analysis or CUEC mapping</t>
        </is>
      </c>
      <c r="F6" s="25" t="inlineStr">
        <is>
          <t>Inspection</t>
        </is>
      </c>
      <c r="G6" s="26" t="inlineStr"/>
      <c r="H6" s="26" t="inlineStr"/>
      <c r="I6" s="26" t="inlineStr"/>
      <c r="J6" s="26" t="inlineStr"/>
      <c r="K6" s="26" t="inlineStr"/>
      <c r="L6" s="26" t="inlineStr"/>
      <c r="M6">
        <f>IF(K6="Compliant",3,IF(K6="Partially Compliant",2,IF(K6="Non-Compliant",1,"")))</f>
        <v/>
      </c>
    </row>
    <row r="7" ht="120" customHeight="1">
      <c r="A7" s="27" t="inlineStr">
        <is>
          <t>TPC-1</t>
        </is>
      </c>
      <c r="B7" s="28" t="inlineStr">
        <is>
          <t>Third-Party Risk Assessment</t>
        </is>
      </c>
      <c r="C7" s="28" t="inlineStr">
        <is>
          <t>Ongoing vendor risk monitoring</t>
        </is>
      </c>
      <c r="D7" s="28" t="inlineStr">
        <is>
          <t>1. Obtain evidence of ongoing risk monitoring activities for critical vendors over the last 12 months (per sampling methodology for annual processes), including periodic risk reviews, threat intelligence related to vendors, and financial health monitoring.
2. Review how changes in vendor risk profile (e.g., data breaches, financial distress, regulatory action) are detected and escalated.
3. Verify that monitoring frequency is proportionate to risk tier — at minimum quarterly for critical-tier vendors providing market infrastructure services.
4. Interview vendor risk management staff to understand how monitoring findings trigger reassessment or remediation.</t>
        </is>
      </c>
      <c r="E7" s="28" t="inlineStr">
        <is>
          <t>Vendor risk monitoring reports for last 12 months; Vendor risk alert or notification records; Escalation records for changes in vendor risk profile; Evidence of periodic financial health checks for critical vendors</t>
        </is>
      </c>
      <c r="F7" s="29" t="inlineStr">
        <is>
          <t>Inspection / Inquiry</t>
        </is>
      </c>
      <c r="G7" s="26" t="inlineStr"/>
      <c r="H7" s="26" t="inlineStr"/>
      <c r="I7" s="26" t="inlineStr"/>
      <c r="J7" s="26" t="inlineStr"/>
      <c r="K7" s="26" t="inlineStr"/>
      <c r="L7" s="26" t="inlineStr"/>
      <c r="M7">
        <f>IF(K7="Compliant",3,IF(K7="Partially Compliant",2,IF(K7="Non-Compliant",1,"")))</f>
        <v/>
      </c>
    </row>
    <row r="8" ht="120" customHeight="1">
      <c r="A8" s="24" t="inlineStr">
        <is>
          <t>TPC-1</t>
        </is>
      </c>
      <c r="B8" s="11" t="inlineStr">
        <is>
          <t>Third-Party Risk Assessment</t>
        </is>
      </c>
      <c r="C8" s="11" t="inlineStr">
        <is>
          <t>Annual vendor reassessment</t>
        </is>
      </c>
      <c r="D8" s="11" t="inlineStr">
        <is>
          <t>1. Obtain the schedule of annual vendor reassessments and verify all critical-tier vendors were reassessed within the last 12 months (per sampling methodology for annual processes).
2. Select 5 vendor reassessments (per sampling methodology — standard risk, population 6-15) and confirm the reassessment scope covers security posture, service delivery performance, compliance status, and any changes in sub-contracting arrangements.
3. Verify that reassessment results are compared against prior year to identify trends or deterioration in vendor risk posture.
4. Confirm that reassessment findings are reported to senior management and that remediation actions are tracked to closure.</t>
        </is>
      </c>
      <c r="E8" s="11" t="inlineStr">
        <is>
          <t>Annual vendor reassessment schedule and completion records; Reassessment reports for sampled vendors; Year-over-year trend analysis; Management reporting of reassessment findings with remediation tracking</t>
        </is>
      </c>
      <c r="F8" s="25" t="inlineStr">
        <is>
          <t>Inspection</t>
        </is>
      </c>
      <c r="G8" s="26" t="inlineStr"/>
      <c r="H8" s="26" t="inlineStr"/>
      <c r="I8" s="26" t="inlineStr"/>
      <c r="J8" s="26" t="inlineStr"/>
      <c r="K8" s="26" t="inlineStr"/>
      <c r="L8" s="26" t="inlineStr"/>
      <c r="M8">
        <f>IF(K8="Compliant",3,IF(K8="Partially Compliant",2,IF(K8="Non-Compliant",1,"")))</f>
        <v/>
      </c>
    </row>
    <row r="9" ht="24" customHeight="1">
      <c r="A9" s="30" t="inlineStr">
        <is>
          <t>TPC-2 — Outsourcing Governance</t>
        </is>
      </c>
    </row>
    <row r="10" ht="72" customHeight="1">
      <c r="A10" s="23" t="inlineStr">
        <is>
          <t>PURPOSE: SC-GL/6-2023 mandates formal outsourcing governance because capital market intermediaries cannot outsource regulatory accountability. Board-level oversight, SC notification for material outsourcing, and robust contractual standards ensure the intermediary retains control over outsourced functions critical to market operations and client protection.
EXPECTATION: The assessor should find a board-approved outsourcing policy aligned with SC-GL/6-2023, documented board approval for each material outsourcing arrangement, contracts with mandatory provisions (SLAs, right-to-audit, PDPA compliance, exit provisions), quarterly board reporting on outsourcing risks, and evidence of SC notification compliance.
KEY RISK: Weak outsourcing governance results in loss of visibility and control over outsourced market operations, exposing the intermediary to regulatory non-compliance, unmanaged vendor failures, and inability to demonstrate accountability to the SC for outsourced functions.</t>
        </is>
      </c>
    </row>
    <row r="11" ht="120" customHeight="1">
      <c r="A11" s="27" t="inlineStr">
        <is>
          <t>TPC-2</t>
        </is>
      </c>
      <c r="B11" s="28" t="inlineStr">
        <is>
          <t>Outsourcing Governance</t>
        </is>
      </c>
      <c r="C11" s="28" t="inlineStr">
        <is>
          <t>Outsourcing policy alignment with SC-GL/6-2023</t>
        </is>
      </c>
      <c r="D11" s="28" t="inlineStr">
        <is>
          <t>1. Obtain the outsourcing policy and verify it is aligned with SC-GL/6-2023 requirements, including definitions of material outsourcing, risk assessment requirements, and governance structures.
2. Verify the policy defines what constitutes material outsourcing for capital market intermediaries (e.g., outsourcing of trading operations, clearing/settlement functions, client data processing, or IT infrastructure supporting market operations).
3. Confirm the policy mandates board approval for material outsourcing arrangements, SC notification where required, and periodic review of all outsourcing arrangements.
4. Determine that the policy was reviewed and approved by the board within the last 12 months (per sampling methodology for annual processes) and that staff with outsourcing management responsibilities have been made aware of the policy.</t>
        </is>
      </c>
      <c r="E11" s="28" t="inlineStr">
        <is>
          <t>Outsourcing policy document; Board approval records for the policy; SC-GL/6-2023 requirement mapping against policy provisions; Policy distribution and acknowledgement records</t>
        </is>
      </c>
      <c r="F11" s="29" t="inlineStr">
        <is>
          <t>Inspection</t>
        </is>
      </c>
      <c r="G11" s="26" t="inlineStr"/>
      <c r="H11" s="26" t="inlineStr"/>
      <c r="I11" s="26" t="inlineStr"/>
      <c r="J11" s="26" t="inlineStr"/>
      <c r="K11" s="26" t="inlineStr"/>
      <c r="L11" s="26" t="inlineStr"/>
      <c r="M11">
        <f>IF(K11="Compliant",3,IF(K11="Partially Compliant",2,IF(K11="Non-Compliant",1,"")))</f>
        <v/>
      </c>
    </row>
    <row r="12" ht="120" customHeight="1">
      <c r="A12" s="24" t="inlineStr">
        <is>
          <t>TPC-2</t>
        </is>
      </c>
      <c r="B12" s="11" t="inlineStr">
        <is>
          <t>Outsourcing Governance</t>
        </is>
      </c>
      <c r="C12" s="11" t="inlineStr">
        <is>
          <t>Board approval for material outsourcing</t>
        </is>
      </c>
      <c r="D12" s="11" t="inlineStr">
        <is>
          <t>1. Obtain the register of all material outsourcing arrangements and confirm each arrangement has documented board approval.
2. Review board papers for 3 material outsourcing arrangements (per sampling methodology — standard risk, population 1-5: all, or population 6-15: 3) and verify the board was provided with adequate information including risk assessment results, proposed controls and monitoring mechanisms, and impact on capital market operations.
3. Verify that SC notification requirements for material outsourcing have been met where applicable, including outsourcing of critical market infrastructure functions.
4. Confirm that the board has delegated day-to-day outsourcing oversight to an appropriate management committee with defined terms of reference.</t>
        </is>
      </c>
      <c r="E12" s="11" t="inlineStr">
        <is>
          <t>Material outsourcing register; Board meeting minutes with outsourcing approval decisions; Board papers with risk assessments and control proposals; SC notification records for material outsourcing; Management committee terms of reference for outsourcing oversight</t>
        </is>
      </c>
      <c r="F12" s="25" t="inlineStr">
        <is>
          <t>Inspection</t>
        </is>
      </c>
      <c r="G12" s="26" t="inlineStr"/>
      <c r="H12" s="26" t="inlineStr"/>
      <c r="I12" s="26" t="inlineStr"/>
      <c r="J12" s="26" t="inlineStr"/>
      <c r="K12" s="26" t="inlineStr"/>
      <c r="L12" s="26" t="inlineStr"/>
      <c r="M12">
        <f>IF(K12="Compliant",3,IF(K12="Partially Compliant",2,IF(K12="Non-Compliant",1,"")))</f>
        <v/>
      </c>
    </row>
    <row r="13" ht="120" customHeight="1">
      <c r="A13" s="27" t="inlineStr">
        <is>
          <t>TPC-2</t>
        </is>
      </c>
      <c r="B13" s="28" t="inlineStr">
        <is>
          <t>Outsourcing Governance</t>
        </is>
      </c>
      <c r="C13" s="28" t="inlineStr">
        <is>
          <t>Contractual standards for outsourcing agreements</t>
        </is>
      </c>
      <c r="D13" s="28" t="inlineStr">
        <is>
          <t>1. Select 5 material outsourcing contracts (per sampling methodology — standard risk, population 6-15), including at least one involving client data processing and one involving trading or market infrastructure services, and inspect for mandatory contractual provisions.
2. Verify each contract includes: defined SLAs with measurable performance targets, right-to-audit clauses permitting the entity and SC to audit the service provider, data protection obligations aligned with PDPA, business continuity and disaster recovery commitments, termination and exit provisions, and regulatory access provisions.
3. Confirm that contracts specify data handling obligations including restrictions on data location, use, and disclosure for client information and market data.
4. Determine whether contract templates have been reviewed by legal counsel with knowledge of SC-GL/6-2023 requirements.</t>
        </is>
      </c>
      <c r="E13" s="28" t="inlineStr">
        <is>
          <t>Sample outsourcing contracts (material arrangements); Contract review checklist against SC-GL/6-2023 mandatory provisions; Legal counsel review records; Data protection schedules or annexes within contracts</t>
        </is>
      </c>
      <c r="F13" s="29" t="inlineStr">
        <is>
          <t>Inspection</t>
        </is>
      </c>
      <c r="G13" s="26" t="inlineStr"/>
      <c r="H13" s="26" t="inlineStr"/>
      <c r="I13" s="26" t="inlineStr"/>
      <c r="J13" s="26" t="inlineStr"/>
      <c r="K13" s="26" t="inlineStr"/>
      <c r="L13" s="26" t="inlineStr"/>
      <c r="M13">
        <f>IF(K13="Compliant",3,IF(K13="Partially Compliant",2,IF(K13="Non-Compliant",1,"")))</f>
        <v/>
      </c>
    </row>
    <row r="14" ht="120" customHeight="1">
      <c r="A14" s="24" t="inlineStr">
        <is>
          <t>TPC-2</t>
        </is>
      </c>
      <c r="B14" s="11" t="inlineStr">
        <is>
          <t>Outsourcing Governance</t>
        </is>
      </c>
      <c r="C14" s="11" t="inlineStr">
        <is>
          <t>Outsourcing risk reporting to the board</t>
        </is>
      </c>
      <c r="D14" s="11" t="inlineStr">
        <is>
          <t>1. Obtain outsourcing risk reports to the board for the last 4 quarters (per sampling methodology for board/committee reports) and verify reporting cadence is maintained.
2. Review report content and confirm it covers: vendor performance against SLAs, significant incidents involving outsourced services, changes in vendor risk profile, compliance with contractual obligations, and any new or terminated outsourcing arrangements.
3. Verify that board actions or decisions arising from outsourcing risk reports are documented and tracked.
4. Interview the COO or outsourcing governance lead to understand how the reporting captures risks from outsourced capital market functions (e.g., trade execution, settlement, custody).</t>
        </is>
      </c>
      <c r="E14" s="11" t="inlineStr">
        <is>
          <t>Quarterly outsourcing risk reports for last 4 quarters; Board meeting minutes showing discussion of outsourcing reports; Action tracking records from board outsourcing decisions; Reporting templates and data sources</t>
        </is>
      </c>
      <c r="F14" s="25" t="inlineStr">
        <is>
          <t>Inspection / Inquiry</t>
        </is>
      </c>
      <c r="G14" s="26" t="inlineStr"/>
      <c r="H14" s="26" t="inlineStr"/>
      <c r="I14" s="26" t="inlineStr"/>
      <c r="J14" s="26" t="inlineStr"/>
      <c r="K14" s="26" t="inlineStr"/>
      <c r="L14" s="26" t="inlineStr"/>
      <c r="M14">
        <f>IF(K14="Compliant",3,IF(K14="Partially Compliant",2,IF(K14="Non-Compliant",1,"")))</f>
        <v/>
      </c>
    </row>
    <row r="15" ht="120" customHeight="1">
      <c r="A15" s="27" t="inlineStr">
        <is>
          <t>TPC-2</t>
        </is>
      </c>
      <c r="B15" s="28" t="inlineStr">
        <is>
          <t>Outsourcing Governance</t>
        </is>
      </c>
      <c r="C15" s="28" t="inlineStr">
        <is>
          <t>SC notification compliance for outsourcing</t>
        </is>
      </c>
      <c r="D15" s="28" t="inlineStr">
        <is>
          <t>1. Obtain records of SC notifications submitted for material outsourcing arrangements and verify completeness against the material outsourcing register.
2. Review notification content to confirm it includes the information required by SC-GL/6-2023, including description of outsourced function, risk assessment summary, and controls implemented.
3. Verify that SC responses or conditions (if any) have been addressed and tracked to closure.
4. Determine whether the entity maintains a tracking mechanism for SC notification requirements across all material outsourcing arrangements.</t>
        </is>
      </c>
      <c r="E15" s="28" t="inlineStr">
        <is>
          <t>SC notification records for material outsourcing; Material outsourcing register cross-referenced to notification status; SC response and condition tracking records; Notification workflow documentation</t>
        </is>
      </c>
      <c r="F15" s="29" t="inlineStr">
        <is>
          <t>Inspection / Confirmation</t>
        </is>
      </c>
      <c r="G15" s="26" t="inlineStr"/>
      <c r="H15" s="26" t="inlineStr"/>
      <c r="I15" s="26" t="inlineStr"/>
      <c r="J15" s="26" t="inlineStr"/>
      <c r="K15" s="26" t="inlineStr"/>
      <c r="L15" s="26" t="inlineStr"/>
      <c r="M15">
        <f>IF(K15="Compliant",3,IF(K15="Partially Compliant",2,IF(K15="Non-Compliant",1,"")))</f>
        <v/>
      </c>
    </row>
    <row r="16" ht="24" customHeight="1">
      <c r="A16" s="30" t="inlineStr">
        <is>
          <t>TPC-3 — Vendor Performance Monitoring</t>
        </is>
      </c>
    </row>
    <row r="17" ht="72" customHeight="1">
      <c r="A17" s="23" t="inlineStr">
        <is>
          <t>PURPOSE: SC-GL/6-2023 requires ongoing performance monitoring of technology vendors because capital market operations depend on continuous, reliable third-party service delivery. SLA monitoring with defined escalation procedures ensures vendor underperformance is detected early and addressed before it degrades trading, clearing, or settlement operations.
EXPECTATION: The assessor should find a structured SLA monitoring framework with metrics calibrated to capital market operational requirements, regular performance reporting for critical vendors, defined escalation procedures for SLA breaches, and evidence of periodic vendor governance reviews driving continuous improvement.
KEY RISK: Unmonitored vendor performance allows service degradation to go undetected until it causes trading delays, market data gaps, or settlement processing failures — by which point the impact on market operations and client service has already occurred.</t>
        </is>
      </c>
    </row>
    <row r="18" ht="120" customHeight="1">
      <c r="A18" s="24" t="inlineStr">
        <is>
          <t>TPC-3</t>
        </is>
      </c>
      <c r="B18" s="11" t="inlineStr">
        <is>
          <t>Vendor Performance Monitoring</t>
        </is>
      </c>
      <c r="C18" s="11" t="inlineStr">
        <is>
          <t>SLA monitoring framework and metrics</t>
        </is>
      </c>
      <c r="D18" s="11" t="inlineStr">
        <is>
          <t>1. Obtain the SLA monitoring framework and verify it defines how vendor performance is measured, reported, and escalated for all outsourced technology services.
2. Verify that SLA metrics are defined for critical capital market vendor categories: market data providers (latency, accuracy, availability), trading platform vendors (uptime, order execution performance), and exchange connectivity providers (connection availability, failover times).
3. Confirm that SLA measurement is based on independent monitoring or verified vendor reporting rather than unverified vendor self-reporting alone.
4. Review whether SLA thresholds and targets have been calibrated against capital market operational requirements (e.g., trading hours availability, settlement window performance).</t>
        </is>
      </c>
      <c r="E18" s="11" t="inlineStr">
        <is>
          <t>SLA monitoring framework document; Defined SLA metrics for each critical vendor category; Independent monitoring tool configurations or reports; SLA threshold calibration records aligned to market operational requirements</t>
        </is>
      </c>
      <c r="F18" s="25" t="inlineStr">
        <is>
          <t>Inspection</t>
        </is>
      </c>
      <c r="G18" s="26" t="inlineStr"/>
      <c r="H18" s="26" t="inlineStr"/>
      <c r="I18" s="26" t="inlineStr"/>
      <c r="J18" s="26" t="inlineStr"/>
      <c r="K18" s="26" t="inlineStr"/>
      <c r="L18" s="26" t="inlineStr"/>
      <c r="M18">
        <f>IF(K18="Compliant",3,IF(K18="Partially Compliant",2,IF(K18="Non-Compliant",1,"")))</f>
        <v/>
      </c>
    </row>
    <row r="19" ht="120" customHeight="1">
      <c r="A19" s="27" t="inlineStr">
        <is>
          <t>TPC-3</t>
        </is>
      </c>
      <c r="B19" s="28" t="inlineStr">
        <is>
          <t>Vendor Performance Monitoring</t>
        </is>
      </c>
      <c r="C19" s="28" t="inlineStr">
        <is>
          <t>Vendor performance reporting</t>
        </is>
      </c>
      <c r="D19" s="28" t="inlineStr">
        <is>
          <t>1. Obtain monthly performance reports for 5 critical vendors (per sampling methodology — standard risk, population 6-15) from the last 3-6 months (per sampling methodology for operational records), including at least one market data provider or exchange connectivity provider.
2. Verify SLA metrics are tracked against agreed targets, deviations are highlighted, and trends are analysed.
3. Review how performance data is aggregated and presented to management, including dashboards or summary reports.
4. Confirm that performance reports differentiate between minor SLA misses and material performance degradation affecting capital market operations.</t>
        </is>
      </c>
      <c r="E19" s="28" t="inlineStr">
        <is>
          <t>Monthly vendor performance reports for critical vendors (last 3-6 months); SLA compliance dashboards or scorecards; Performance trend analysis; Management summary reports on vendor performance</t>
        </is>
      </c>
      <c r="F19" s="29" t="inlineStr">
        <is>
          <t>Inspection</t>
        </is>
      </c>
      <c r="G19" s="26" t="inlineStr"/>
      <c r="H19" s="26" t="inlineStr"/>
      <c r="I19" s="26" t="inlineStr"/>
      <c r="J19" s="26" t="inlineStr"/>
      <c r="K19" s="26" t="inlineStr"/>
      <c r="L19" s="26" t="inlineStr"/>
      <c r="M19">
        <f>IF(K19="Compliant",3,IF(K19="Partially Compliant",2,IF(K19="Non-Compliant",1,"")))</f>
        <v/>
      </c>
    </row>
    <row r="20" ht="120" customHeight="1">
      <c r="A20" s="24" t="inlineStr">
        <is>
          <t>TPC-3</t>
        </is>
      </c>
      <c r="B20" s="11" t="inlineStr">
        <is>
          <t>Vendor Performance Monitoring</t>
        </is>
      </c>
      <c r="C20" s="11" t="inlineStr">
        <is>
          <t>SLA breach escalation procedures</t>
        </is>
      </c>
      <c r="D20" s="11" t="inlineStr">
        <is>
          <t>1. Obtain the escalation procedures for SLA breaches and verify they define escalation tiers, timelines, and responsible parties.
2. Select 3 instances of SLA breaches from the last 12 months (per sampling methodology — standard risk, population 1-5: all) and trace the escalation process to verify timely notification, root cause analysis, and remediation actions.
3. Verify that service credits or contractual penalties were assessed and applied where applicable.
4. Confirm that persistent underperformance triggers formal remediation plans or consideration of vendor replacement, particularly for vendors supporting trading or settlement operations.</t>
        </is>
      </c>
      <c r="E20" s="11" t="inlineStr">
        <is>
          <t>SLA breach escalation procedures; SLA breach records with escalation trail for sampled incidents; Root cause analysis and remediation action records; Service credit or penalty application records; Remediation plans for persistent underperformance</t>
        </is>
      </c>
      <c r="F20" s="25" t="inlineStr">
        <is>
          <t>Inspection</t>
        </is>
      </c>
      <c r="G20" s="26" t="inlineStr"/>
      <c r="H20" s="26" t="inlineStr"/>
      <c r="I20" s="26" t="inlineStr"/>
      <c r="J20" s="26" t="inlineStr"/>
      <c r="K20" s="26" t="inlineStr"/>
      <c r="L20" s="26" t="inlineStr"/>
      <c r="M20">
        <f>IF(K20="Compliant",3,IF(K20="Partially Compliant",2,IF(K20="Non-Compliant",1,"")))</f>
        <v/>
      </c>
    </row>
    <row r="21" ht="120" customHeight="1">
      <c r="A21" s="27" t="inlineStr">
        <is>
          <t>TPC-3</t>
        </is>
      </c>
      <c r="B21" s="28" t="inlineStr">
        <is>
          <t>Vendor Performance Monitoring</t>
        </is>
      </c>
      <c r="C21" s="28" t="inlineStr">
        <is>
          <t>Periodic vendor relationship reviews</t>
        </is>
      </c>
      <c r="D21" s="28" t="inlineStr">
        <is>
          <t>1. Obtain records of periodic vendor governance meetings or relationship reviews for 5 critical vendors (per sampling methodology — standard risk, population 6-15) from the last 12 months (per sampling methodology for annual processes).
2. Review meeting minutes or action logs and verify discussions covered: service delivery performance, upcoming changes or enhancements, risk and compliance matters, and strategic alignment.
3. Confirm that action items from governance meetings are tracked to closure.
4. Interview the service management team to understand how vendor relationship reviews feed into annual reassessment and contract renewal decisions for capital market service providers.</t>
        </is>
      </c>
      <c r="E21" s="28" t="inlineStr">
        <is>
          <t>Vendor governance meeting minutes or records for critical vendors; Action item tracking logs; Meeting attendance records; Relationship review summary reports</t>
        </is>
      </c>
      <c r="F21" s="29" t="inlineStr">
        <is>
          <t>Inspection / Inquiry</t>
        </is>
      </c>
      <c r="G21" s="26" t="inlineStr"/>
      <c r="H21" s="26" t="inlineStr"/>
      <c r="I21" s="26" t="inlineStr"/>
      <c r="J21" s="26" t="inlineStr"/>
      <c r="K21" s="26" t="inlineStr"/>
      <c r="L21" s="26" t="inlineStr"/>
      <c r="M21">
        <f>IF(K21="Compliant",3,IF(K21="Partially Compliant",2,IF(K21="Non-Compliant",1,"")))</f>
        <v/>
      </c>
    </row>
    <row r="22" ht="24" customHeight="1">
      <c r="A22" s="30" t="inlineStr">
        <is>
          <t>TPC-4 — Fourth-Party Oversight</t>
        </is>
      </c>
    </row>
    <row r="23" ht="72" customHeight="1">
      <c r="A23" s="23" t="inlineStr">
        <is>
          <t>PURPOSE: SC-GL/6-2023 expects intermediaries to look beyond direct vendors because capital market technology supply chains often involve sub-contractors who access client data or operate critical infrastructure. Fourth-party oversight ensures the intermediary understands and manages concentration risks and supply chain dependencies that could disrupt market operations.
EXPECTATION: The assessor should find a fourth-party register with disclosed sub-contractors for critical vendors, risk assessments for critical supply chains (particularly trading platform and market data chains), contractual provisions requiring sub-contractor disclosure and flow-down obligations, and concentration risk analysis identifying shared infrastructure dependencies.
KEY RISK: Unmanaged fourth-party risk creates hidden single points of failure — multiple critical vendors may depend on the same sub-contractor, and a fourth-party failure can simultaneously disrupt trading, market data, and settlement services.</t>
        </is>
      </c>
    </row>
    <row r="24" ht="120" customHeight="1">
      <c r="A24" s="24" t="inlineStr">
        <is>
          <t>TPC-4</t>
        </is>
      </c>
      <c r="B24" s="11" t="inlineStr">
        <is>
          <t>Fourth-Party Oversight</t>
        </is>
      </c>
      <c r="C24" s="11" t="inlineStr">
        <is>
          <t>Sub-contractor disclosure and register</t>
        </is>
      </c>
      <c r="D24" s="11" t="inlineStr">
        <is>
          <t>1. Obtain the fourth-party register or sub-contractor disclosure records for all critical service providers and verify completeness against contractual disclosure requirements.
2. Verify that critical vendors (market data providers, trading platform vendors, exchange connectivity providers) have disclosed all sub-contractors that access client data or market systems.
3. Confirm that sub-contractor disclosures include the nature of services provided, data access granted, and geographic location of service delivery.
4. Review whether the entity has a process to receive and act on notifications of sub-contractor changes from critical vendors.</t>
        </is>
      </c>
      <c r="E24" s="11" t="inlineStr">
        <is>
          <t>Fourth-party register or sub-contractor disclosure records; Contractual disclosure requirement clauses; Sub-contractor change notification records; Process documentation for managing sub-contractor disclosures</t>
        </is>
      </c>
      <c r="F24" s="25" t="inlineStr">
        <is>
          <t>Inspection</t>
        </is>
      </c>
      <c r="G24" s="26" t="inlineStr"/>
      <c r="H24" s="26" t="inlineStr"/>
      <c r="I24" s="26" t="inlineStr"/>
      <c r="J24" s="26" t="inlineStr"/>
      <c r="K24" s="26" t="inlineStr"/>
      <c r="L24" s="26" t="inlineStr"/>
      <c r="M24">
        <f>IF(K24="Compliant",3,IF(K24="Partially Compliant",2,IF(K24="Non-Compliant",1,"")))</f>
        <v/>
      </c>
    </row>
    <row r="25" ht="120" customHeight="1">
      <c r="A25" s="27" t="inlineStr">
        <is>
          <t>TPC-4</t>
        </is>
      </c>
      <c r="B25" s="28" t="inlineStr">
        <is>
          <t>Fourth-Party Oversight</t>
        </is>
      </c>
      <c r="C25" s="28" t="inlineStr">
        <is>
          <t>Fourth-party risk assessment</t>
        </is>
      </c>
      <c r="D25" s="28" t="inlineStr">
        <is>
          <t>1. Select 3 critical supply chains (per sampling methodology — standard risk, population 1-5: all; e.g., trading platform vendor and its infrastructure sub-contractors; market data provider and its data source aggregators) and review fourth-party risk assessments conducted.
2. Verify that assessments evaluate the impact of fourth-party failure on capital market operations, including trading continuity, settlement processing, and client data protection.
3. Confirm that risk assessments consider geographic and jurisdictional risks for fourth parties operating outside Malaysia, particularly where client data under PDPA may be accessed.
4. Determine whether fourth-party risk assessment results are integrated into the overall vendor risk profile for the primary service provider.</t>
        </is>
      </c>
      <c r="E25" s="28" t="inlineStr">
        <is>
          <t>Fourth-party risk assessment reports for critical supply chains; Supply chain mapping diagrams; Jurisdictional risk analysis for offshore fourth parties; Integrated vendor risk profiles reflecting fourth-party risks</t>
        </is>
      </c>
      <c r="F25" s="29" t="inlineStr">
        <is>
          <t>Inspection</t>
        </is>
      </c>
      <c r="G25" s="26" t="inlineStr"/>
      <c r="H25" s="26" t="inlineStr"/>
      <c r="I25" s="26" t="inlineStr"/>
      <c r="J25" s="26" t="inlineStr"/>
      <c r="K25" s="26" t="inlineStr"/>
      <c r="L25" s="26" t="inlineStr"/>
      <c r="M25">
        <f>IF(K25="Compliant",3,IF(K25="Partially Compliant",2,IF(K25="Non-Compliant",1,"")))</f>
        <v/>
      </c>
    </row>
    <row r="26" ht="120" customHeight="1">
      <c r="A26" s="24" t="inlineStr">
        <is>
          <t>TPC-4</t>
        </is>
      </c>
      <c r="B26" s="11" t="inlineStr">
        <is>
          <t>Fourth-Party Oversight</t>
        </is>
      </c>
      <c r="C26" s="11" t="inlineStr">
        <is>
          <t>Contractual provisions for sub-contracting</t>
        </is>
      </c>
      <c r="D26" s="11" t="inlineStr">
        <is>
          <t>1. Review contracts with 5 critical vendors (per sampling methodology — standard risk, population 6-15) and verify they include provisions requiring prior approval or notification before engaging new sub-contractors for services involving client data or market systems.
2. Confirm contracts include flow-down requirements ensuring sub-contractors meet the same security, data protection, and confidentiality obligations as the primary vendor.
3. Verify that contracts reserve the entity's right (and the SC's right) to audit sub-contractors providing critical services.
4. Determine whether contracts include provisions for termination if sub-contracting arrangements materially change the risk profile.</t>
        </is>
      </c>
      <c r="E26" s="11" t="inlineStr">
        <is>
          <t>Sub-contracting clauses in critical vendor contracts; Flow-down obligation provisions; Audit right provisions extending to sub-contractors; Termination trigger clauses related to sub-contracting changes</t>
        </is>
      </c>
      <c r="F26" s="25" t="inlineStr">
        <is>
          <t>Inspection</t>
        </is>
      </c>
      <c r="G26" s="26" t="inlineStr"/>
      <c r="H26" s="26" t="inlineStr"/>
      <c r="I26" s="26" t="inlineStr"/>
      <c r="J26" s="26" t="inlineStr"/>
      <c r="K26" s="26" t="inlineStr"/>
      <c r="L26" s="26" t="inlineStr"/>
      <c r="M26">
        <f>IF(K26="Compliant",3,IF(K26="Partially Compliant",2,IF(K26="Non-Compliant",1,"")))</f>
        <v/>
      </c>
    </row>
    <row r="27" ht="120" customHeight="1">
      <c r="A27" s="27" t="inlineStr">
        <is>
          <t>TPC-4</t>
        </is>
      </c>
      <c r="B27" s="28" t="inlineStr">
        <is>
          <t>Fourth-Party Oversight</t>
        </is>
      </c>
      <c r="C27" s="28" t="inlineStr">
        <is>
          <t>Concentration risk assessment</t>
        </is>
      </c>
      <c r="D27" s="28" t="inlineStr">
        <is>
          <t>1. Obtain or construct a supply chain dependency map for critical capital market services and identify where multiple vendors depend on the same fourth party (e.g., multiple vendors using the same CSP, or common market data aggregator).
2. Verify that concentration risks have been formally assessed, particularly for shared infrastructure dependencies affecting trading, clearing, or settlement.
3. Review whether mitigating actions have been identified and implemented for material concentration risks (e.g., alternative providers, multi-cloud arrangements, diversified data feeds).
4. Interview vendor risk management staff to understand how fourth-party concentration risks are monitored on an ongoing basis.</t>
        </is>
      </c>
      <c r="E27" s="28" t="inlineStr">
        <is>
          <t>Supply chain dependency map or concentration risk analysis; Concentration risk assessment report; Mitigation action plans for identified concentration risks; Monitoring reports for ongoing concentration risk tracking</t>
        </is>
      </c>
      <c r="F27" s="29" t="inlineStr">
        <is>
          <t>Inspection / Inquiry</t>
        </is>
      </c>
      <c r="G27" s="26" t="inlineStr"/>
      <c r="H27" s="26" t="inlineStr"/>
      <c r="I27" s="26" t="inlineStr"/>
      <c r="J27" s="26" t="inlineStr"/>
      <c r="K27" s="26" t="inlineStr"/>
      <c r="L27" s="26" t="inlineStr"/>
      <c r="M27">
        <f>IF(K27="Compliant",3,IF(K27="Partially Compliant",2,IF(K27="Non-Compliant",1,"")))</f>
        <v/>
      </c>
    </row>
    <row r="28" ht="24" customHeight="1">
      <c r="A28" s="30" t="inlineStr">
        <is>
          <t>TPC-5 — Cloud Risk Assessment</t>
        </is>
      </c>
    </row>
    <row r="29" ht="72" customHeight="1">
      <c r="A29" s="23" t="inlineStr">
        <is>
          <t>PURPOSE: SC-GL/6-2023 requires risk assessment before cloud adoption because cloud deployments for capital market systems introduce shared responsibility complexity, multi-tenancy risks, and data sovereignty considerations unique to the Malaysian regulatory environment. A structured cloud risk assessment framework ensures these risks are evaluated against PDPA and SC expectations before workloads are migrated.
EXPECTATION: The assessor should find a board-approved cloud risk assessment framework addressing shared responsibility, data residency, and multi-tenancy risks, completed risk assessments for all current cloud engagements (performed before adoption, not retrospectively), shared responsibility matrices with evidence of entity-side control implementation, and current CSP assurance reports with CUEC gap analysis.
KEY RISK: Adopting cloud services without adequate risk assessment can result in client data being stored in non-compliant jurisdictions, unmanaged shared responsibility gaps, and reliance on CSP controls that do not meet SC or PDPA requirements — creating regulatory exposure that is difficult to remediate post-deployment.</t>
        </is>
      </c>
    </row>
    <row r="30" ht="120" customHeight="1">
      <c r="A30" s="24" t="inlineStr">
        <is>
          <t>TPC-5</t>
        </is>
      </c>
      <c r="B30" s="11" t="inlineStr">
        <is>
          <t>Cloud Risk Assessment</t>
        </is>
      </c>
      <c r="C30" s="11" t="inlineStr">
        <is>
          <t>Cloud risk assessment framework</t>
        </is>
      </c>
      <c r="D30" s="11" t="inlineStr">
        <is>
          <t>1. Obtain the cloud risk assessment framework or methodology and verify it addresses shared responsibility, multi-tenancy, data residency, vendor lock-in, and regulatory requirements specific to Malaysian capital market data.
2. Verify the framework mandates risk assessment before any new cloud adoption involving client data (subject to PDPA), market data, or capital market system workloads.
3. Confirm the framework defines risk acceptance criteria and approval authorities for cloud deployments at different risk levels.
4. Determine whether the framework has been reviewed within the last 12 months (per sampling methodology for annual processes) and approved by senior management or the board.</t>
        </is>
      </c>
      <c r="E30" s="11" t="inlineStr">
        <is>
          <t>Cloud risk assessment framework or methodology document; Framework approval records; Risk acceptance criteria and approval authority matrix; Framework review and update records</t>
        </is>
      </c>
      <c r="F30" s="25" t="inlineStr">
        <is>
          <t>Inspection</t>
        </is>
      </c>
      <c r="G30" s="26" t="inlineStr"/>
      <c r="H30" s="26" t="inlineStr"/>
      <c r="I30" s="26" t="inlineStr"/>
      <c r="J30" s="26" t="inlineStr"/>
      <c r="K30" s="26" t="inlineStr"/>
      <c r="L30" s="26" t="inlineStr"/>
      <c r="M30">
        <f>IF(K30="Compliant",3,IF(K30="Partially Compliant",2,IF(K30="Non-Compliant",1,"")))</f>
        <v/>
      </c>
    </row>
    <row r="31" ht="120" customHeight="1">
      <c r="A31" s="27" t="inlineStr">
        <is>
          <t>TPC-5</t>
        </is>
      </c>
      <c r="B31" s="28" t="inlineStr">
        <is>
          <t>Cloud Risk Assessment</t>
        </is>
      </c>
      <c r="C31" s="28" t="inlineStr">
        <is>
          <t>Shared responsibility model documentation</t>
        </is>
      </c>
      <c r="D31" s="28" t="inlineStr">
        <is>
          <t>1. Obtain the shared responsibility matrices for all current CSP engagements involving capital market systems or client data.
2. Verify each matrix clearly delineates security responsibilities between the entity and the CSP across infrastructure, platform, application, and data layers.
3. Select 3 CSP engagements (per sampling methodology — standard risk, population 1-5: all) and confirm the entity has implemented its side of the shared responsibility obligations (e.g., IAM configuration, data encryption, network security controls).
4. Review whether shared responsibility matrices are reviewed and updated when CSPs change their service models or introduce new features.</t>
        </is>
      </c>
      <c r="E31" s="28" t="inlineStr">
        <is>
          <t>Shared responsibility matrices for each CSP engagement; Evidence of entity-side control implementation for sampled engagements; CSP service model change tracking records; Responsibility matrix review and update log</t>
        </is>
      </c>
      <c r="F31" s="29" t="inlineStr">
        <is>
          <t>Inspection</t>
        </is>
      </c>
      <c r="G31" s="26" t="inlineStr"/>
      <c r="H31" s="26" t="inlineStr"/>
      <c r="I31" s="26" t="inlineStr"/>
      <c r="J31" s="26" t="inlineStr"/>
      <c r="K31" s="26" t="inlineStr"/>
      <c r="L31" s="26" t="inlineStr"/>
      <c r="M31">
        <f>IF(K31="Compliant",3,IF(K31="Partially Compliant",2,IF(K31="Non-Compliant",1,"")))</f>
        <v/>
      </c>
    </row>
    <row r="32" ht="120" customHeight="1">
      <c r="A32" s="24" t="inlineStr">
        <is>
          <t>TPC-5</t>
        </is>
      </c>
      <c r="B32" s="11" t="inlineStr">
        <is>
          <t>Cloud Risk Assessment</t>
        </is>
      </c>
      <c r="C32" s="11" t="inlineStr">
        <is>
          <t>Data residency and sovereignty assessment</t>
        </is>
      </c>
      <c r="D32" s="11" t="inlineStr">
        <is>
          <t>1. Obtain the data residency assessment for cloud-hosted capital market data and verify it identifies where client information (subject to PDPA) and market data are physically stored and processed.
2. Verify that data residency requirements have been assessed against PDPA cross-border transfer provisions and SC-GL/6-2023 expectations for data sovereignty.
3. Confirm that CSP contracts specify permitted data storage jurisdictions and that technical controls enforce residency restrictions (e.g., region-locked deployments).
4. Review whether the entity has assessed the legal and regulatory implications of data being accessible from jurisdictions outside Malaysia, even if stored domestically.</t>
        </is>
      </c>
      <c r="E32" s="11" t="inlineStr">
        <is>
          <t>Data residency assessment report; PDPA cross-border transfer compliance analysis; CSP contractual data residency provisions; Technical configuration evidence for region-locked deployments; Legal opinion on jurisdictional data access risks</t>
        </is>
      </c>
      <c r="F32" s="25" t="inlineStr">
        <is>
          <t>Inspection</t>
        </is>
      </c>
      <c r="G32" s="26" t="inlineStr"/>
      <c r="H32" s="26" t="inlineStr"/>
      <c r="I32" s="26" t="inlineStr"/>
      <c r="J32" s="26" t="inlineStr"/>
      <c r="K32" s="26" t="inlineStr"/>
      <c r="L32" s="26" t="inlineStr"/>
      <c r="M32">
        <f>IF(K32="Compliant",3,IF(K32="Partially Compliant",2,IF(K32="Non-Compliant",1,"")))</f>
        <v/>
      </c>
    </row>
    <row r="33" ht="120" customHeight="1">
      <c r="A33" s="27" t="inlineStr">
        <is>
          <t>TPC-5</t>
        </is>
      </c>
      <c r="B33" s="28" t="inlineStr">
        <is>
          <t>Cloud Risk Assessment</t>
        </is>
      </c>
      <c r="C33" s="28" t="inlineStr">
        <is>
          <t>CSP certification and assurance review</t>
        </is>
      </c>
      <c r="D33" s="28" t="inlineStr">
        <is>
          <t>1. Obtain current CSP certifications and independent assurance reports (SOC 2 Type II, ISO 27001, CSA STAR) for all CSPs hosting capital market systems or client data.
2. Verify that assurance reports are current (issued within the last 12 months, per sampling methodology for annual processes) and that the scope covers the specific services and regions used by the entity.
3. Review complementary user entity controls (CUECs) identified in SOC 2 reports and verify the entity has implemented them.
4. Confirm that any qualifications, exceptions, or findings in assurance reports have been assessed for impact on the entity's risk profile and addressed where necessary.</t>
        </is>
      </c>
      <c r="E33" s="28" t="inlineStr">
        <is>
          <t>CSP SOC 2 Type II reports; ISO 27001 certificates for CSPs; CSA STAR certification records; CUEC implementation evidence; Gap analysis for assurance report findings or qualifications</t>
        </is>
      </c>
      <c r="F33" s="29" t="inlineStr">
        <is>
          <t>Inspection</t>
        </is>
      </c>
      <c r="G33" s="26" t="inlineStr"/>
      <c r="H33" s="26" t="inlineStr"/>
      <c r="I33" s="26" t="inlineStr"/>
      <c r="J33" s="26" t="inlineStr"/>
      <c r="K33" s="26" t="inlineStr"/>
      <c r="L33" s="26" t="inlineStr"/>
      <c r="M33">
        <f>IF(K33="Compliant",3,IF(K33="Partially Compliant",2,IF(K33="Non-Compliant",1,"")))</f>
        <v/>
      </c>
    </row>
    <row r="34" ht="120" customHeight="1">
      <c r="A34" s="24" t="inlineStr">
        <is>
          <t>TPC-5</t>
        </is>
      </c>
      <c r="B34" s="11" t="inlineStr">
        <is>
          <t>Cloud Risk Assessment</t>
        </is>
      </c>
      <c r="C34" s="11" t="inlineStr">
        <is>
          <t>Cloud security posture assessment</t>
        </is>
      </c>
      <c r="D34" s="11" t="inlineStr">
        <is>
          <t>1. Obtain evidence of cloud security posture assessments conducted for environments hosting capital market workloads, including configuration reviews and compliance checks.
2. Verify that cloud security posture management (CSPM) tools or processes are in place to detect misconfigurations, excessive permissions, and non-compliant resource deployments.
3. Select 3 cloud environments (per sampling methodology — standard risk, population 1-5: all) and review security posture assessment results, including findings, severity ratings, and remediation status.
4. Confirm that critical and high-severity cloud security findings are remediated within defined SLAs and that residual risks are formally accepted by appropriate management.</t>
        </is>
      </c>
      <c r="E34" s="11" t="inlineStr">
        <is>
          <t>Cloud security posture assessment reports; CSPM tool configuration and output; Remediation tracking records for cloud security findings; Risk acceptance records for residual cloud security risks</t>
        </is>
      </c>
      <c r="F34" s="25" t="inlineStr">
        <is>
          <t>Inspection</t>
        </is>
      </c>
      <c r="G34" s="26" t="inlineStr"/>
      <c r="H34" s="26" t="inlineStr"/>
      <c r="I34" s="26" t="inlineStr"/>
      <c r="J34" s="26" t="inlineStr"/>
      <c r="K34" s="26" t="inlineStr"/>
      <c r="L34" s="26" t="inlineStr"/>
      <c r="M34">
        <f>IF(K34="Compliant",3,IF(K34="Partially Compliant",2,IF(K34="Non-Compliant",1,"")))</f>
        <v/>
      </c>
    </row>
    <row r="35" ht="120" customHeight="1">
      <c r="A35" s="27" t="inlineStr">
        <is>
          <t>TPC-5</t>
        </is>
      </c>
      <c r="B35" s="28" t="inlineStr">
        <is>
          <t>Cloud Risk Assessment</t>
        </is>
      </c>
      <c r="C35" s="28" t="inlineStr">
        <is>
          <t>Cloud risk assessment completion for current engagements</t>
        </is>
      </c>
      <c r="D35" s="28" t="inlineStr">
        <is>
          <t>1. Obtain an inventory of all current cloud engagements involving client data or market systems and cross-reference against completed cloud risk assessments.
2. Verify that each engagement had a risk assessment completed before cloud adoption, not retrospectively.
3. Select 3 completed cloud risk assessments (per sampling methodology — standard risk, population 1-5: all) and confirm they address all framework requirements including shared responsibility, data residency, multi-tenancy risks, and capital market-specific considerations.
4. Determine whether cloud risk assessments are refreshed periodically (at minimum annually, per sampling methodology for annual processes) or when material changes occur to the cloud deployment.</t>
        </is>
      </c>
      <c r="E35" s="28" t="inlineStr">
        <is>
          <t>Cloud engagement inventory; Completed cloud risk assessments for all engagements; Risk assessment completion dates versus cloud adoption dates; Periodic reassessment records</t>
        </is>
      </c>
      <c r="F35" s="29" t="inlineStr">
        <is>
          <t>Inspection</t>
        </is>
      </c>
      <c r="G35" s="26" t="inlineStr"/>
      <c r="H35" s="26" t="inlineStr"/>
      <c r="I35" s="26" t="inlineStr"/>
      <c r="J35" s="26" t="inlineStr"/>
      <c r="K35" s="26" t="inlineStr"/>
      <c r="L35" s="26" t="inlineStr"/>
      <c r="M35">
        <f>IF(K35="Compliant",3,IF(K35="Partially Compliant",2,IF(K35="Non-Compliant",1,"")))</f>
        <v/>
      </c>
    </row>
    <row r="36" ht="24" customHeight="1">
      <c r="A36" s="30" t="inlineStr">
        <is>
          <t>TPC-6 — Cloud Data Governance</t>
        </is>
      </c>
    </row>
    <row r="37" ht="72" customHeight="1">
      <c r="A37" s="23" t="inlineStr">
        <is>
          <t>PURPOSE: SC-GL/6-2023 requires cloud data governance because capital market client data stored in cloud environments remains subject to PDPA and SC supervisory expectations regardless of hosting location. Effective cloud data governance ensures data classification, encryption, access controls, and residency enforcement are maintained to the same standard as on-premises systems.
EXPECTATION: The assessor should find data classification applied and technically enforced in cloud environments, customer-managed encryption keys (BYOK) for client PII and market-sensitive data, IAM policies enforcing least-privilege with MFA for all sensitive access, active data access monitoring with anomaly detection, and data residency controls preventing non-compliant replication or processing.
KEY RISK: Weak cloud data governance exposes client PII to unauthorised access, data residency violations, or undetected exfiltration — any of which can trigger PDPA enforcement action, SC sanctions, and loss of client trust in the intermediary's data stewardship.</t>
        </is>
      </c>
    </row>
    <row r="38" ht="120" customHeight="1">
      <c r="A38" s="24" t="inlineStr">
        <is>
          <t>TPC-6</t>
        </is>
      </c>
      <c r="B38" s="11" t="inlineStr">
        <is>
          <t>Cloud Data Governance</t>
        </is>
      </c>
      <c r="C38" s="11" t="inlineStr">
        <is>
          <t>Data classification in cloud environments</t>
        </is>
      </c>
      <c r="D38" s="11" t="inlineStr">
        <is>
          <t>1. Obtain the inventory of data types stored in cloud environments and verify classification labels are applied consistent with the entity's data classification scheme.
2. Verify that classification distinguishes between client PII (subject to PDPA), market-sensitive data, trading data, and general corporate data, with protection levels defined for each.
3. Select 3 cloud environments (per sampling methodology — standard risk, population 1-5: all) and confirm that data classification labels are technically enforced (e.g., resource tagging, metadata labels, automated classification tools).
4. Review whether data classification in cloud is periodically reviewed to capture new data types or changes in sensitivity as capital market operations evolve.</t>
        </is>
      </c>
      <c r="E38" s="11" t="inlineStr">
        <is>
          <t>Cloud data inventory with classification labels; Data classification scheme applied to cloud data types; Resource tagging or metadata label configurations for sampled environments; Classification review records</t>
        </is>
      </c>
      <c r="F38" s="25" t="inlineStr">
        <is>
          <t>Inspection</t>
        </is>
      </c>
      <c r="G38" s="26" t="inlineStr"/>
      <c r="H38" s="26" t="inlineStr"/>
      <c r="I38" s="26" t="inlineStr"/>
      <c r="J38" s="26" t="inlineStr"/>
      <c r="K38" s="26" t="inlineStr"/>
      <c r="L38" s="26" t="inlineStr"/>
      <c r="M38">
        <f>IF(K38="Compliant",3,IF(K38="Partially Compliant",2,IF(K38="Non-Compliant",1,"")))</f>
        <v/>
      </c>
    </row>
    <row r="39" ht="120" customHeight="1">
      <c r="A39" s="27" t="inlineStr">
        <is>
          <t>TPC-6</t>
        </is>
      </c>
      <c r="B39" s="28" t="inlineStr">
        <is>
          <t>Cloud Data Governance</t>
        </is>
      </c>
      <c r="C39" s="28" t="inlineStr">
        <is>
          <t>Encryption and key management (BYOK)</t>
        </is>
      </c>
      <c r="D39" s="28" t="inlineStr">
        <is>
          <t>1. Verify encryption controls for sensitive data in cloud environments: inspect encryption configuration for data at rest and data in transit for all cloud environments hosting client data or market data.
2. Confirm that customer-managed keys (BYOK or HYOK) are used for encrypting client PII and market-sensitive data, rather than relying solely on CSP-managed keys.
3. Review key management procedures including key generation, rotation schedules (per sampling methodology — last 3-6 months for operational records), access controls on key management systems, and key lifecycle management.
4. Determine whether encryption key management has been assessed for compliance with PDPA data protection requirements and whether key escrow or recovery procedures are documented.</t>
        </is>
      </c>
      <c r="E39" s="28" t="inlineStr">
        <is>
          <t>Encryption configuration evidence for cloud environments (at-rest and in-transit); Customer-managed key (BYOK) deployment records; Key management procedure documentation; Key rotation schedules and execution logs; Key access control configurations</t>
        </is>
      </c>
      <c r="F39" s="29" t="inlineStr">
        <is>
          <t>Inspection</t>
        </is>
      </c>
      <c r="G39" s="26" t="inlineStr"/>
      <c r="H39" s="26" t="inlineStr"/>
      <c r="I39" s="26" t="inlineStr"/>
      <c r="J39" s="26" t="inlineStr"/>
      <c r="K39" s="26" t="inlineStr"/>
      <c r="L39" s="26" t="inlineStr"/>
      <c r="M39">
        <f>IF(K39="Compliant",3,IF(K39="Partially Compliant",2,IF(K39="Non-Compliant",1,"")))</f>
        <v/>
      </c>
    </row>
    <row r="40" ht="120" customHeight="1">
      <c r="A40" s="24" t="inlineStr">
        <is>
          <t>TPC-6</t>
        </is>
      </c>
      <c r="B40" s="11" t="inlineStr">
        <is>
          <t>Cloud Data Governance</t>
        </is>
      </c>
      <c r="C40" s="11" t="inlineStr">
        <is>
          <t>Cloud access controls and privileged access</t>
        </is>
      </c>
      <c r="D40" s="11" t="inlineStr">
        <is>
          <t>1. Review IAM policies and access control configurations for cloud environments hosting client data, including role definitions, least-privilege enforcement, and segregation of duties.
2. Verify that multi-factor authentication is enforced for all access to cloud environments containing client PII or market data, particularly for privileged and administrative accounts.
3. Obtain the privileged access register for cloud environments and verify that privileged access is limited, justified, reviewed at least quarterly (per sampling methodology — last 4 quarters for board/committee records), and subject to enhanced monitoring.
4. Confirm that access provisioning and de-provisioning processes are timely and that access reviews have been completed within the last quarter.</t>
        </is>
      </c>
      <c r="E40" s="11" t="inlineStr">
        <is>
          <t>IAM policy configurations for cloud environments; MFA enforcement evidence; Privileged access register with justification records; Quarterly access review records; Access provisioning and de-provisioning logs</t>
        </is>
      </c>
      <c r="F40" s="25" t="inlineStr">
        <is>
          <t>Inspection</t>
        </is>
      </c>
      <c r="G40" s="26" t="inlineStr"/>
      <c r="H40" s="26" t="inlineStr"/>
      <c r="I40" s="26" t="inlineStr"/>
      <c r="J40" s="26" t="inlineStr"/>
      <c r="K40" s="26" t="inlineStr"/>
      <c r="L40" s="26" t="inlineStr"/>
      <c r="M40">
        <f>IF(K40="Compliant",3,IF(K40="Partially Compliant",2,IF(K40="Non-Compliant",1,"")))</f>
        <v/>
      </c>
    </row>
    <row r="41" ht="120" customHeight="1">
      <c r="A41" s="27" t="inlineStr">
        <is>
          <t>TPC-6</t>
        </is>
      </c>
      <c r="B41" s="28" t="inlineStr">
        <is>
          <t>Cloud Data Governance</t>
        </is>
      </c>
      <c r="C41" s="28" t="inlineStr">
        <is>
          <t>Cloud data access monitoring and anomaly detection</t>
        </is>
      </c>
      <c r="D41" s="28" t="inlineStr">
        <is>
          <t>1. Review cloud access logs and audit trails for the last 3-6 months (per sampling methodology for operational records) to verify that data access monitoring is active for environments hosting client data and market data.
2. Verify that logging covers all access to sensitive data including administrative actions, data exports, bulk queries, and API access to client information.
3. Confirm that anomalous access patterns (e.g., unusual data downloads, access from unexpected locations, off-hours privileged access) are detected and investigated.
4. Select 3 anomaly alerts or investigations from the last 3-6 months (per sampling methodology — standard risk, population 1-5: all) and verify they were responded to within defined SLAs, with documented investigation outcomes.</t>
        </is>
      </c>
      <c r="E41" s="28" t="inlineStr">
        <is>
          <t>Cloud access logs and audit trail configurations; Data access monitoring dashboard or reports; Anomaly detection rule configurations; Investigation records for sampled anomaly alerts; Alert response SLA compliance reports</t>
        </is>
      </c>
      <c r="F41" s="29" t="inlineStr">
        <is>
          <t>Inspection</t>
        </is>
      </c>
      <c r="G41" s="26" t="inlineStr"/>
      <c r="H41" s="26" t="inlineStr"/>
      <c r="I41" s="26" t="inlineStr"/>
      <c r="J41" s="26" t="inlineStr"/>
      <c r="K41" s="26" t="inlineStr"/>
      <c r="L41" s="26" t="inlineStr"/>
      <c r="M41">
        <f>IF(K41="Compliant",3,IF(K41="Partially Compliant",2,IF(K41="Non-Compliant",1,"")))</f>
        <v/>
      </c>
    </row>
    <row r="42" ht="120" customHeight="1">
      <c r="A42" s="24" t="inlineStr">
        <is>
          <t>TPC-6</t>
        </is>
      </c>
      <c r="B42" s="11" t="inlineStr">
        <is>
          <t>Cloud Data Governance</t>
        </is>
      </c>
      <c r="C42" s="11" t="inlineStr">
        <is>
          <t>Data residency enforcement in cloud</t>
        </is>
      </c>
      <c r="D42" s="11" t="inlineStr">
        <is>
          <t>1. Inspect cloud deployment configurations for environments hosting Malaysian capital market client data and verify that data residency restrictions are technically enforced (e.g., region-locked resource groups, geo-fencing policies).
2. Verify that data residency controls prevent data replication, backup, or processing in non-approved jurisdictions.
3. Review CSP data residency commitment documentation and confirm it aligns with PDPA cross-border data transfer requirements.
4. Confirm that data residency compliance is monitored on an ongoing basis (per sampling methodology — last 30 days for continuous monitoring) and that any residency violations are detected and escalated promptly.</t>
        </is>
      </c>
      <c r="E42" s="11" t="inlineStr">
        <is>
          <t>Cloud deployment region configurations; Geo-fencing or region-lock policy settings; CSP data residency commitment documentation; Data residency monitoring reports; Residency violation detection and escalation records</t>
        </is>
      </c>
      <c r="F42" s="25" t="inlineStr">
        <is>
          <t>Inspection</t>
        </is>
      </c>
      <c r="G42" s="26" t="inlineStr"/>
      <c r="H42" s="26" t="inlineStr"/>
      <c r="I42" s="26" t="inlineStr"/>
      <c r="J42" s="26" t="inlineStr"/>
      <c r="K42" s="26" t="inlineStr"/>
      <c r="L42" s="26" t="inlineStr"/>
      <c r="M42">
        <f>IF(K42="Compliant",3,IF(K42="Partially Compliant",2,IF(K42="Non-Compliant",1,"")))</f>
        <v/>
      </c>
    </row>
    <row r="43" ht="24" customHeight="1">
      <c r="A43" s="30" t="inlineStr">
        <is>
          <t>TPC-7 — Cloud Exit Strategy</t>
        </is>
      </c>
    </row>
    <row r="44" ht="72" customHeight="1">
      <c r="A44" s="23" t="inlineStr">
        <is>
          <t>PURPOSE: SC-GL/6-2023 requires cloud exit strategies because capital market intermediaries must be able to migrate away from a CSP without disrupting market operations or compromising client data. Exit planning ensures the intermediary avoids vendor lock-in and can maintain continuity of trading, clearing, and settlement services during any transition.
EXPECTATION: The assessor should find documented exit plans for all material cloud deployments with timeline and cost estimates, tested data portability using open standards and non-proprietary formats, identified alternative providers assessed for capital market suitability, and integration of cloud contingency scenarios into the BCP.
KEY RISK: Without a viable exit strategy, the intermediary is locked into a CSP with no practical ability to migrate — creating existential risk if the CSP terminates service, experiences prolonged outage, or changes terms that conflict with SC or PDPA requirements.</t>
        </is>
      </c>
    </row>
    <row r="45" ht="120" customHeight="1">
      <c r="A45" s="27" t="inlineStr">
        <is>
          <t>TPC-7</t>
        </is>
      </c>
      <c r="B45" s="28" t="inlineStr">
        <is>
          <t>Cloud Exit Strategy</t>
        </is>
      </c>
      <c r="C45" s="28" t="inlineStr">
        <is>
          <t>Exit plan documentation for material cloud deployments</t>
        </is>
      </c>
      <c r="D45" s="28" t="inlineStr">
        <is>
          <t>1. Obtain documented exit plans for all material cloud deployments hosting capital market systems or client data and verify they exist for each material engagement.
2. Verify each exit plan covers: data extraction procedures, service migration approach, timeline estimates and cost projections, communication plan for stakeholders, and continuity of capital market operations during transition.
3. Confirm that exit plans address the handling of client data under PDPA during and after migration, including secure deletion from the departing CSP.
4. Determine whether exit plans have been reviewed and updated within the last 12 months (per sampling methodology for annual processes) and approved by the CTO or equivalent.</t>
        </is>
      </c>
      <c r="E45" s="28" t="inlineStr">
        <is>
          <t>Cloud exit plans for all material deployments; Exit plan approval records; Timeline and cost estimates for each exit scenario; PDPA data handling procedures during exit; Exit plan review and update log</t>
        </is>
      </c>
      <c r="F45" s="29" t="inlineStr">
        <is>
          <t>Inspection</t>
        </is>
      </c>
      <c r="G45" s="26" t="inlineStr"/>
      <c r="H45" s="26" t="inlineStr"/>
      <c r="I45" s="26" t="inlineStr"/>
      <c r="J45" s="26" t="inlineStr"/>
      <c r="K45" s="26" t="inlineStr"/>
      <c r="L45" s="26" t="inlineStr"/>
      <c r="M45">
        <f>IF(K45="Compliant",3,IF(K45="Partially Compliant",2,IF(K45="Non-Compliant",1,"")))</f>
        <v/>
      </c>
    </row>
    <row r="46" ht="120" customHeight="1">
      <c r="A46" s="24" t="inlineStr">
        <is>
          <t>TPC-7</t>
        </is>
      </c>
      <c r="B46" s="11" t="inlineStr">
        <is>
          <t>Cloud Exit Strategy</t>
        </is>
      </c>
      <c r="C46" s="11" t="inlineStr">
        <is>
          <t>Data portability and format standards</t>
        </is>
      </c>
      <c r="D46" s="11" t="inlineStr">
        <is>
          <t>1. Review cloud workload designs for portability considerations, including use of open standards, containerisation, and avoidance of proprietary lock-in for critical capital market services.
2. Verify that data export formats have been defined and tested for all material data categories (client records, trading data, market data, configuration data) ensuring data can be extracted in usable, non-proprietary formats.
3. Confirm that CSP contracts include provisions for data retrieval timelines, format commitments, and assistance obligations upon exit.
4. Review contractual provisions for data deletion by the CSP post-termination and verify they align with PDPA data retention and destruction requirements.</t>
        </is>
      </c>
      <c r="E46" s="11" t="inlineStr">
        <is>
          <t>Cloud architecture documentation showing portability considerations; Data export format specifications and test results; CSP contractual exit assistance provisions; Data deletion obligation clauses; Vendor lock-in assessment for critical services</t>
        </is>
      </c>
      <c r="F46" s="25" t="inlineStr">
        <is>
          <t>Inspection</t>
        </is>
      </c>
      <c r="G46" s="26" t="inlineStr"/>
      <c r="H46" s="26" t="inlineStr"/>
      <c r="I46" s="26" t="inlineStr"/>
      <c r="J46" s="26" t="inlineStr"/>
      <c r="K46" s="26" t="inlineStr"/>
      <c r="L46" s="26" t="inlineStr"/>
      <c r="M46">
        <f>IF(K46="Compliant",3,IF(K46="Partially Compliant",2,IF(K46="Non-Compliant",1,"")))</f>
        <v/>
      </c>
    </row>
    <row r="47" ht="120" customHeight="1">
      <c r="A47" s="27" t="inlineStr">
        <is>
          <t>TPC-7</t>
        </is>
      </c>
      <c r="B47" s="28" t="inlineStr">
        <is>
          <t>Cloud Exit Strategy</t>
        </is>
      </c>
      <c r="C47" s="28" t="inlineStr">
        <is>
          <t>Migration testing and validation</t>
        </is>
      </c>
      <c r="D47" s="28" t="inlineStr">
        <is>
          <t>1. Obtain records of data extraction and migration testing conducted for material cloud deployments, verifying tests were performed within the last 12 months (per sampling methodology for annual processes).
2. Verify that migration tests include end-to-end data extraction, integrity validation (record counts, checksums), and confirmation that all data categories can be retrieved in agreed formats.
3. Review test results including time to extract, data completeness verification, and any issues encountered and their resolution.
4. Confirm that migration testing for capital market data covers trading records, client data, and regulatory reporting data to ensure continuity of SC and Bursa Malaysia reporting obligations.</t>
        </is>
      </c>
      <c r="E47" s="28" t="inlineStr">
        <is>
          <t>Data migration test plans and execution records; Test results with data integrity validation (checksums, record counts); Time-to-extract measurements; Issue logs and resolution records from migration tests; Coverage confirmation for regulatory reporting data</t>
        </is>
      </c>
      <c r="F47" s="29" t="inlineStr">
        <is>
          <t>Inspection</t>
        </is>
      </c>
      <c r="G47" s="26" t="inlineStr"/>
      <c r="H47" s="26" t="inlineStr"/>
      <c r="I47" s="26" t="inlineStr"/>
      <c r="J47" s="26" t="inlineStr"/>
      <c r="K47" s="26" t="inlineStr"/>
      <c r="L47" s="26" t="inlineStr"/>
      <c r="M47">
        <f>IF(K47="Compliant",3,IF(K47="Partially Compliant",2,IF(K47="Non-Compliant",1,"")))</f>
        <v/>
      </c>
    </row>
    <row r="48" ht="120" customHeight="1">
      <c r="A48" s="24" t="inlineStr">
        <is>
          <t>TPC-7</t>
        </is>
      </c>
      <c r="B48" s="11" t="inlineStr">
        <is>
          <t>Cloud Exit Strategy</t>
        </is>
      </c>
      <c r="C48" s="11" t="inlineStr">
        <is>
          <t>Alternative provider identification and contingency</t>
        </is>
      </c>
      <c r="D48" s="11" t="inlineStr">
        <is>
          <t>1. Interview the CTO or cloud architecture team to understand identified alternative CSPs or on-premises fallback options for each critical cloud service.
2. Verify that alternative providers have been assessed for capability to host capital market workloads, including compliance with data residency requirements, availability of required certifications, and ability to meet performance SLAs.
3. Review whether transition timelines and effort estimates have been developed for migrating to alternative providers.
4. Confirm that contingency arrangements are documented and integrated into the entity's business continuity planning for scenarios involving CSP failure or sudden termination.</t>
        </is>
      </c>
      <c r="E48" s="11" t="inlineStr">
        <is>
          <t>Alternative provider assessment records; Capability comparison matrix for alternative CSPs; Transition timeline and effort estimates; BCP integration documentation for cloud contingency scenarios; CTO or cloud architecture team interview notes</t>
        </is>
      </c>
      <c r="F48" s="25" t="inlineStr">
        <is>
          <t>Inspection / Inquiry</t>
        </is>
      </c>
      <c r="G48" s="26" t="inlineStr"/>
      <c r="H48" s="26" t="inlineStr"/>
      <c r="I48" s="26" t="inlineStr"/>
      <c r="J48" s="26" t="inlineStr"/>
      <c r="K48" s="26" t="inlineStr"/>
      <c r="L48" s="26" t="inlineStr"/>
      <c r="M48">
        <f>IF(K48="Compliant",3,IF(K48="Partially Compliant",2,IF(K48="Non-Compliant",1,"")))</f>
        <v/>
      </c>
    </row>
    <row r="50" ht="28" customHeight="1">
      <c r="A50" s="31" t="inlineStr">
        <is>
          <t>This work program is constructed for educational purposes. Customise for your engagement. Not legal or regulatory advice. AI-generated content — review and validate before use.</t>
        </is>
      </c>
    </row>
  </sheetData>
  <autoFilter ref="A1:L1"/>
  <mergeCells count="15">
    <mergeCell ref="A2:L2"/>
    <mergeCell ref="A16:L16"/>
    <mergeCell ref="A29:L29"/>
    <mergeCell ref="A10:L10"/>
    <mergeCell ref="A43:L43"/>
    <mergeCell ref="A28:L28"/>
    <mergeCell ref="A23:L23"/>
    <mergeCell ref="A37:L37"/>
    <mergeCell ref="A36:L36"/>
    <mergeCell ref="A44:L44"/>
    <mergeCell ref="A22:L22"/>
    <mergeCell ref="A17:L17"/>
    <mergeCell ref="A9:L9"/>
    <mergeCell ref="A3:L3"/>
    <mergeCell ref="A50:L50"/>
  </mergeCells>
  <dataValidations count="1">
    <dataValidation sqref="K4 K5 K6 K7 K8 K11 K12 K13 K14 K15 K18 K19 K20 K21 K24 K25 K26 K27 K30 K31 K32 K33 K34 K35 K38 K39 K40 K41 K42 K45 K46 K47 K48" showDropDown="0" showInputMessage="0" showErrorMessage="0" allowBlank="1" errorTitle="Invalid Conclusion" error="Please select a valid conclusion" promptTitle="Conclusion" prompt="Select the assessment conclusion" type="list">
      <formula1>"Compliant,Partially Compliant,Non-Compliant,N/A"</formula1>
    </dataValidation>
  </dataValidations>
  <pageMargins left="0.75" right="0.75" top="1" bottom="1" header="0.5" footer="0.5"/>
</worksheet>
</file>

<file path=xl/worksheets/sheet6.xml><?xml version="1.0" encoding="utf-8"?>
<worksheet xmlns="http://schemas.openxmlformats.org/spreadsheetml/2006/main">
  <sheetPr>
    <tabColor rgb="008E44AD"/>
    <outlinePr summaryBelow="1" summaryRight="1"/>
    <pageSetUpPr/>
  </sheetPr>
  <dimension ref="A1:M44"/>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4" customWidth="1" min="3" max="3"/>
    <col width="48" customWidth="1" min="4" max="4"/>
    <col width="36" customWidth="1" min="5" max="5"/>
    <col width="14" customWidth="1" min="6" max="6"/>
    <col width="30" customWidth="1" min="7" max="7"/>
    <col width="24" customWidth="1" min="8" max="8"/>
    <col width="12" customWidth="1" min="9" max="9"/>
    <col width="30" customWidth="1" min="10" max="10"/>
    <col width="14" customWidth="1" min="11" max="11"/>
    <col width="30" customWidth="1" min="12" max="12"/>
    <col hidden="1" width="13" customWidth="1" min="13" max="13"/>
  </cols>
  <sheetData>
    <row r="1" ht="28" customHeight="1">
      <c r="A1" s="20" t="inlineStr">
        <is>
          <t>Ref</t>
        </is>
      </c>
      <c r="B1" s="20" t="inlineStr">
        <is>
          <t>Control</t>
        </is>
      </c>
      <c r="C1" s="20" t="inlineStr">
        <is>
          <t>Sub-Procedure</t>
        </is>
      </c>
      <c r="D1" s="20" t="inlineStr">
        <is>
          <t>Assessment Procedures</t>
        </is>
      </c>
      <c r="E1" s="20" t="inlineStr">
        <is>
          <t>Expected Evidence</t>
        </is>
      </c>
      <c r="F1" s="20" t="inlineStr">
        <is>
          <t>Method</t>
        </is>
      </c>
      <c r="G1" s="20" t="inlineStr">
        <is>
          <t>Procedures Performed</t>
        </is>
      </c>
      <c r="H1" s="20" t="inlineStr">
        <is>
          <t>Evidence Obtained</t>
        </is>
      </c>
      <c r="I1" s="20" t="inlineStr">
        <is>
          <t>Evidence Ref</t>
        </is>
      </c>
      <c r="J1" s="20" t="inlineStr">
        <is>
          <t>Observation / Findings</t>
        </is>
      </c>
      <c r="K1" s="20" t="inlineStr">
        <is>
          <t>Conclusion</t>
        </is>
      </c>
      <c r="L1" s="20" t="inlineStr">
        <is>
          <t>Recommendations</t>
        </is>
      </c>
      <c r="M1" s="21" t="inlineStr">
        <is>
          <t>Score</t>
        </is>
      </c>
    </row>
    <row r="2" ht="24" customHeight="1">
      <c r="A2" s="30" t="inlineStr">
        <is>
          <t>DET-1 — Data Governance Framework</t>
        </is>
      </c>
    </row>
    <row r="3" ht="72" customHeight="1">
      <c r="A3" s="23" t="inlineStr">
        <is>
          <t>PURPOSE: SC-GL/6-2023 requires capital market intermediaries to establish a comprehensive data governance framework to ensure that data used in trading, valuation, client servicing, and regulatory reporting is managed as a strategic asset with clear ownership and accountability. Effective data governance underpins the integrity of capital market operations and supports regulatory confidence in the intermediary's ability to produce reliable data for supervisory purposes.
EXPECTATION: The assessor should expect to find a formally approved data governance framework with clearly defined roles (data owners, stewards, custodians), a data classification scheme applied across critical data domains, data quality standards with measurable metrics, and lifecycle management procedures aligned with SC record-keeping and PDPA requirements. Governance reporting should be embedded in board or management committee agendas with regular cadence.
KEY RISK: Without a data governance framework, the intermediary risks data quality failures that could result in incorrect NAV calculations, erroneous trade reporting, regulatory non-compliance, and inability to respond to SC examination requests with reliable data.</t>
        </is>
      </c>
    </row>
    <row r="4" ht="120" customHeight="1">
      <c r="A4" s="24" t="inlineStr">
        <is>
          <t>DET-1</t>
        </is>
      </c>
      <c r="B4" s="11" t="inlineStr">
        <is>
          <t>Data Governance Framework</t>
        </is>
      </c>
      <c r="C4" s="11" t="inlineStr">
        <is>
          <t>Data governance roles &amp; accountability</t>
        </is>
      </c>
      <c r="D4" s="11" t="inlineStr">
        <is>
          <t>1. Obtain the data governance framework document and verify it defines data owners, data stewards, and data custodians with clear accountability for market data, client data, and operational data.
2. Review the reporting structure for data governance, confirming the CDO or equivalent reports to senior management and that data governance is a standing agenda item at a board or management committee. Obtain board or committee reports from the last 4 quarters (per sampling methodology) to verify regular reporting cadence.
3. Verify that data ownership is formally assigned for each critical data domain (trade data, client portfolio data, NAV data, market reference data) and that owners acknowledge their responsibilities.</t>
        </is>
      </c>
      <c r="E4" s="11" t="inlineStr">
        <is>
          <t>Data governance framework with defined roles and accountability matrix; Board or management committee minutes from last 4 quarters referencing data governance reporting; Data ownership register covering trade data, client portfolios, and market data domains</t>
        </is>
      </c>
      <c r="F4" s="25" t="inlineStr">
        <is>
          <t>Inspection / Inquiry</t>
        </is>
      </c>
      <c r="G4" s="26" t="inlineStr"/>
      <c r="H4" s="26" t="inlineStr"/>
      <c r="I4" s="26" t="inlineStr"/>
      <c r="J4" s="26" t="inlineStr"/>
      <c r="K4" s="26" t="inlineStr"/>
      <c r="L4" s="26" t="inlineStr"/>
      <c r="M4">
        <f>IF(K4="Compliant",3,IF(K4="Partially Compliant",2,IF(K4="Non-Compliant",1,"")))</f>
        <v/>
      </c>
    </row>
    <row r="5" ht="120" customHeight="1">
      <c r="A5" s="27" t="inlineStr">
        <is>
          <t>DET-1</t>
        </is>
      </c>
      <c r="B5" s="28" t="inlineStr">
        <is>
          <t>Data Governance Framework</t>
        </is>
      </c>
      <c r="C5" s="28" t="inlineStr">
        <is>
          <t>Data classification scheme</t>
        </is>
      </c>
      <c r="D5" s="28" t="inlineStr">
        <is>
          <t>1. Obtain the data classification scheme and verify it defines classification levels (e.g., public, internal, confidential, restricted) with handling requirements for each level.
2. Select a sample of 5 data assets (per sampling methodology, from a population of 6-15) across market data systems, client databases, and trading systems to verify classification labels have been applied consistently.
3. Confirm that the classification scheme addresses capital market-specific data types including Bursa market data feeds, Bloomberg/Reuters terminal data, client CDS account information, and NAV calculation inputs.</t>
        </is>
      </c>
      <c r="E5" s="28" t="inlineStr">
        <is>
          <t>Data classification policy with defined levels and handling requirements; Classification labels applied to 5 sampled data assets across market data, client, and trading systems; Data asset inventory with classification assignments</t>
        </is>
      </c>
      <c r="F5" s="29" t="inlineStr">
        <is>
          <t>Inspection</t>
        </is>
      </c>
      <c r="G5" s="26" t="inlineStr"/>
      <c r="H5" s="26" t="inlineStr"/>
      <c r="I5" s="26" t="inlineStr"/>
      <c r="J5" s="26" t="inlineStr"/>
      <c r="K5" s="26" t="inlineStr"/>
      <c r="L5" s="26" t="inlineStr"/>
      <c r="M5">
        <f>IF(K5="Compliant",3,IF(K5="Partially Compliant",2,IF(K5="Non-Compliant",1,"")))</f>
        <v/>
      </c>
    </row>
    <row r="6" ht="120" customHeight="1">
      <c r="A6" s="24" t="inlineStr">
        <is>
          <t>DET-1</t>
        </is>
      </c>
      <c r="B6" s="11" t="inlineStr">
        <is>
          <t>Data Governance Framework</t>
        </is>
      </c>
      <c r="C6" s="11" t="inlineStr">
        <is>
          <t>Data quality standards &amp; monitoring</t>
        </is>
      </c>
      <c r="D6" s="11" t="inlineStr">
        <is>
          <t>1. Review data quality standards and verify they define accuracy, completeness, timeliness, and consistency metrics for critical capital market data (trade data, pricing data, client records).
2. Select a sample of 5 data quality reports from the last 3-6 months of operational records (per sampling methodology) and verify that quality metrics are tracked, thresholds are defined, and breaches trigger investigation and remediation.
3. Determine whether data quality monitoring covers data processed by outsourced service providers and cloud-hosted systems.</t>
        </is>
      </c>
      <c r="E6" s="11" t="inlineStr">
        <is>
          <t>Data quality standards document with defined metrics and thresholds; Sample of 5 data quality monitoring reports from last 3-6 months; Evidence of remediation actions for data quality issues identified</t>
        </is>
      </c>
      <c r="F6" s="25" t="inlineStr">
        <is>
          <t>Inspection</t>
        </is>
      </c>
      <c r="G6" s="26" t="inlineStr"/>
      <c r="H6" s="26" t="inlineStr"/>
      <c r="I6" s="26" t="inlineStr"/>
      <c r="J6" s="26" t="inlineStr"/>
      <c r="K6" s="26" t="inlineStr"/>
      <c r="L6" s="26" t="inlineStr"/>
      <c r="M6">
        <f>IF(K6="Compliant",3,IF(K6="Partially Compliant",2,IF(K6="Non-Compliant",1,"")))</f>
        <v/>
      </c>
    </row>
    <row r="7" ht="120" customHeight="1">
      <c r="A7" s="27" t="inlineStr">
        <is>
          <t>DET-1</t>
        </is>
      </c>
      <c r="B7" s="28" t="inlineStr">
        <is>
          <t>Data Governance Framework</t>
        </is>
      </c>
      <c r="C7" s="28" t="inlineStr">
        <is>
          <t>PDPA compliance for client data</t>
        </is>
      </c>
      <c r="D7" s="28" t="inlineStr">
        <is>
          <t>1. Obtain the most recent PDPA compliance assessment (current version plus prior version per sampling methodology) and verify it covers all client personal data processing activities conducted by the intermediary.
2. Review data processing notices issued to clients and confirm they accurately describe the purposes for which client data is collected and processed (account opening, suitability assessments, regulatory reporting).
3. Verify that consent mechanisms are implemented for client data processing, and that data subject access request (DSAR) procedures are documented and tested.
4. Confirm that a record of processing activities (ROPA) is maintained as required under PDPA.</t>
        </is>
      </c>
      <c r="E7" s="28" t="inlineStr">
        <is>
          <t>PDPA compliance assessment report (current version + prior); Client data processing notices; Consent mechanisms and DSAR procedures documentation; Record of processing activities (ROPA)</t>
        </is>
      </c>
      <c r="F7" s="29" t="inlineStr">
        <is>
          <t>Inspection / Inquiry</t>
        </is>
      </c>
      <c r="G7" s="26" t="inlineStr"/>
      <c r="H7" s="26" t="inlineStr"/>
      <c r="I7" s="26" t="inlineStr"/>
      <c r="J7" s="26" t="inlineStr"/>
      <c r="K7" s="26" t="inlineStr"/>
      <c r="L7" s="26" t="inlineStr"/>
      <c r="M7">
        <f>IF(K7="Compliant",3,IF(K7="Partially Compliant",2,IF(K7="Non-Compliant",1,"")))</f>
        <v/>
      </c>
    </row>
    <row r="8" ht="120" customHeight="1">
      <c r="A8" s="24" t="inlineStr">
        <is>
          <t>DET-1</t>
        </is>
      </c>
      <c r="B8" s="11" t="inlineStr">
        <is>
          <t>Data Governance Framework</t>
        </is>
      </c>
      <c r="C8" s="11" t="inlineStr">
        <is>
          <t>Data lifecycle management</t>
        </is>
      </c>
      <c r="D8" s="11" t="inlineStr">
        <is>
          <t>1. Review the data retention and disposal policy (current version plus prior version per sampling methodology) and verify it defines retention periods aligned with SC record-keeping requirements, PDPA, and applicable securities regulations.
2. Verify that retention schedules cover capital market-specific records including trade records, order logs, client communications, and NAV calculation records.
3. Select a sample of 3 data disposal events from the last 12 months (per sampling methodology for annual processes) and confirm that secure disposal methods were used and disposal was documented with certificates or audit trails.
4. Confirm that data lifecycle management extends to data held by third-party service providers and in cloud environments.</t>
        </is>
      </c>
      <c r="E8" s="11" t="inlineStr">
        <is>
          <t>Data retention and disposal policy with retention schedules (current version + prior); Evidence of secure data disposal for 3 sampled events (disposal certificates or audit trails); Retention schedule covering trade records, order logs, and client communications</t>
        </is>
      </c>
      <c r="F8" s="25" t="inlineStr">
        <is>
          <t>Inspection</t>
        </is>
      </c>
      <c r="G8" s="26" t="inlineStr"/>
      <c r="H8" s="26" t="inlineStr"/>
      <c r="I8" s="26" t="inlineStr"/>
      <c r="J8" s="26" t="inlineStr"/>
      <c r="K8" s="26" t="inlineStr"/>
      <c r="L8" s="26" t="inlineStr"/>
      <c r="M8">
        <f>IF(K8="Compliant",3,IF(K8="Partially Compliant",2,IF(K8="Non-Compliant",1,"")))</f>
        <v/>
      </c>
    </row>
    <row r="9" ht="24" customHeight="1">
      <c r="A9" s="30" t="inlineStr">
        <is>
          <t>DET-2 — Market Data Integrity</t>
        </is>
      </c>
    </row>
    <row r="10" ht="72" customHeight="1">
      <c r="A10" s="23" t="inlineStr">
        <is>
          <t>PURPOSE: SC-GL/6-2023 requires intermediaries to maintain the integrity, accuracy, and timeliness of market data used in trading, valuation, and client reporting. Market data underpins pricing decisions, NAV calculations, and trade execution quality — errors propagate directly into client outcomes and market conduct.
EXPECTATION: The assessor should expect to find automated validation controls on all market data feeds, latency and accuracy monitoring with defined thresholds, regular reconciliation of market data against authoritative sources (Bursa Malaysia, depository records), and documented procedures for correcting erroneous data with full audit trails and downstream impact assessment.
KEY RISK: Compromised market data integrity could lead to mispriced trades, incorrect NAV valuations, flawed client reporting, and potential market manipulation concerns — exposing the intermediary to SC enforcement action and client losses.</t>
        </is>
      </c>
    </row>
    <row r="11" ht="120" customHeight="1">
      <c r="A11" s="27" t="inlineStr">
        <is>
          <t>DET-2</t>
        </is>
      </c>
      <c r="B11" s="28" t="inlineStr">
        <is>
          <t>Market Data Integrity</t>
        </is>
      </c>
      <c r="C11" s="28" t="inlineStr">
        <is>
          <t>Data validation controls for market data feeds</t>
        </is>
      </c>
      <c r="D11" s="28" t="inlineStr">
        <is>
          <t>1. Obtain documentation of data validation checks applied to market data feeds from Bursa Malaysia, Bloomberg, Reuters, and other providers.
2. Verify that validation rules cover completeness (all expected instruments received), accuracy (price reasonableness checks), timeliness (stale data detection), and format integrity.
3. Review validation exception logs for the last 4 quarters (per sampling methodology for board/committee-level reports) and confirm that failed validations trigger alerts, are investigated, and are resolved before data is consumed by trading or valuation systems.
4. Determine whether validation checks are automated and operate in real-time or near-real-time for live trading feeds.</t>
        </is>
      </c>
      <c r="E11" s="28" t="inlineStr">
        <is>
          <t>Market data feed validation rule documentation; Validation exception logs for last 4 quarters with investigation records; System configuration evidence showing automated validation checks on Bursa, Bloomberg, and Reuters feeds</t>
        </is>
      </c>
      <c r="F11" s="29" t="inlineStr">
        <is>
          <t>Inspection</t>
        </is>
      </c>
      <c r="G11" s="26" t="inlineStr"/>
      <c r="H11" s="26" t="inlineStr"/>
      <c r="I11" s="26" t="inlineStr"/>
      <c r="J11" s="26" t="inlineStr"/>
      <c r="K11" s="26" t="inlineStr"/>
      <c r="L11" s="26" t="inlineStr"/>
      <c r="M11">
        <f>IF(K11="Compliant",3,IF(K11="Partially Compliant",2,IF(K11="Non-Compliant",1,"")))</f>
        <v/>
      </c>
    </row>
    <row r="12" ht="120" customHeight="1">
      <c r="A12" s="24" t="inlineStr">
        <is>
          <t>DET-2</t>
        </is>
      </c>
      <c r="B12" s="11" t="inlineStr">
        <is>
          <t>Market Data Integrity</t>
        </is>
      </c>
      <c r="C12" s="11" t="inlineStr">
        <is>
          <t>Latency &amp; accuracy monitoring</t>
        </is>
      </c>
      <c r="D12" s="11" t="inlineStr">
        <is>
          <t>1. Review market data latency monitoring dashboards or reports and verify that latency thresholds are defined for each data feed (Bursa direct feed, consolidated feed, third-party vendors).
2. Select a sample of 5 latency monitoring reports from the last 3-6 months of operational records (per sampling methodology) and verify that latency breaches are detected, escalated, and resolved.
3. Confirm that accuracy metrics track discrepancies between primary and secondary data sources (e.g., Bursa feed vs. Bloomberg) and that material discrepancies are investigated.
4. Verify that monitoring covers end-to-end data pipeline latency, not just feed receipt latency.</t>
        </is>
      </c>
      <c r="E12" s="11" t="inlineStr">
        <is>
          <t>Market data latency monitoring reports with defined thresholds; Sample of 5 latency reports from last 3-6 months showing breach detection and resolution; Accuracy comparison reports between primary and secondary data sources</t>
        </is>
      </c>
      <c r="F12" s="25" t="inlineStr">
        <is>
          <t>Inspection</t>
        </is>
      </c>
      <c r="G12" s="26" t="inlineStr"/>
      <c r="H12" s="26" t="inlineStr"/>
      <c r="I12" s="26" t="inlineStr"/>
      <c r="J12" s="26" t="inlineStr"/>
      <c r="K12" s="26" t="inlineStr"/>
      <c r="L12" s="26" t="inlineStr"/>
      <c r="M12">
        <f>IF(K12="Compliant",3,IF(K12="Partially Compliant",2,IF(K12="Non-Compliant",1,"")))</f>
        <v/>
      </c>
    </row>
    <row r="13" ht="120" customHeight="1">
      <c r="A13" s="27" t="inlineStr">
        <is>
          <t>DET-2</t>
        </is>
      </c>
      <c r="B13" s="28" t="inlineStr">
        <is>
          <t>Market Data Integrity</t>
        </is>
      </c>
      <c r="C13" s="28" t="inlineStr">
        <is>
          <t>Reconciliation processes</t>
        </is>
      </c>
      <c r="D13" s="28" t="inlineStr">
        <is>
          <t>1. Obtain reconciliation procedures for critical market data and verify they define reconciliation frequency, tolerance thresholds, and escalation procedures for breaks.
2. Review reconciliation reports for the last 4 quarters (per sampling methodology for board/committee reports) covering end-of-day pricing data, corporate action data, and trade-related reference data against Bursa Malaysia and depository records.
3. Select a sample of 3 reconciliation breaks from the last 3-6 months of operational records (per sampling methodology) and trace them through to investigation, root cause identification, and resolution.
4. Verify that reconciliation results are reviewed and signed off by an independent party (not the data operations team).</t>
        </is>
      </c>
      <c r="E13" s="28" t="inlineStr">
        <is>
          <t>Reconciliation procedures for market data; Reconciliation reports for last 4 quarters (pricing, corporate actions, reference data); Break investigation and resolution records for 3 sampled breaks; Independent sign-off evidence on reconciliation results</t>
        </is>
      </c>
      <c r="F13" s="29" t="inlineStr">
        <is>
          <t>Inspection</t>
        </is>
      </c>
      <c r="G13" s="26" t="inlineStr"/>
      <c r="H13" s="26" t="inlineStr"/>
      <c r="I13" s="26" t="inlineStr"/>
      <c r="J13" s="26" t="inlineStr"/>
      <c r="K13" s="26" t="inlineStr"/>
      <c r="L13" s="26" t="inlineStr"/>
      <c r="M13">
        <f>IF(K13="Compliant",3,IF(K13="Partially Compliant",2,IF(K13="Non-Compliant",1,"")))</f>
        <v/>
      </c>
    </row>
    <row r="14" ht="120" customHeight="1">
      <c r="A14" s="24" t="inlineStr">
        <is>
          <t>DET-2</t>
        </is>
      </c>
      <c r="B14" s="11" t="inlineStr">
        <is>
          <t>Market Data Integrity</t>
        </is>
      </c>
      <c r="C14" s="11" t="inlineStr">
        <is>
          <t>Data correction &amp; restatement procedures</t>
        </is>
      </c>
      <c r="D14" s="11" t="inlineStr">
        <is>
          <t>1. Review data correction and restatement procedures (current version plus prior version per sampling methodology) and verify they define authorisation requirements, audit trail capture, and downstream impact assessment before corrections are applied.
2. Select a sample of 3 market data corrections from the last 12 months (per sampling methodology for annual processes) and verify that each was authorised by an appropriate party, the audit trail captures before and after values, and downstream systems (NAV calculations, client statements, trade confirmations) were updated.
3. Confirm that correction procedures address the impact on already-executed trades or published valuations that relied on the erroneous data.
4. Interview the Head of Market Operations to understand how time-critical corrections are handled during trading hours.</t>
        </is>
      </c>
      <c r="E14" s="11" t="inlineStr">
        <is>
          <t>Data correction and restatement procedures (current version + prior); Correction records for 3 sampled events with authorisation and audit trails; Evidence of downstream impact assessment and system updates following corrections</t>
        </is>
      </c>
      <c r="F14" s="25" t="inlineStr">
        <is>
          <t>Inspection / Inquiry</t>
        </is>
      </c>
      <c r="G14" s="26" t="inlineStr"/>
      <c r="H14" s="26" t="inlineStr"/>
      <c r="I14" s="26" t="inlineStr"/>
      <c r="J14" s="26" t="inlineStr"/>
      <c r="K14" s="26" t="inlineStr"/>
      <c r="L14" s="26" t="inlineStr"/>
      <c r="M14">
        <f>IF(K14="Compliant",3,IF(K14="Partially Compliant",2,IF(K14="Non-Compliant",1,"")))</f>
        <v/>
      </c>
    </row>
    <row r="15" ht="24" customHeight="1">
      <c r="A15" s="22" t="inlineStr">
        <is>
          <t>DET-3 — Client Data Protection [CRITICAL]</t>
        </is>
      </c>
    </row>
    <row r="16" ht="72" customHeight="1">
      <c r="A16" s="23" t="inlineStr">
        <is>
          <t>PURPOSE: SC-GL/6-2023 mandates robust protection of client data held by capital market intermediaries, recognising that intermediaries process highly sensitive personal and financial data subject to both PDPA obligations and securities law confidentiality requirements. Client data protection is foundational to maintaining market confidence and fulfilling the intermediary's fiduciary and regulatory obligations.
EXPECTATION: The assessor should expect to find defence-in-depth controls including encryption at rest (AES-256) and in transit (TLS 1.2+), role-based access controls with regular access reviews, DLP deployment across all data channels, completed data protection impact assessments, and documented cross-border transfer controls compliant with PDPA. Given the critical risk tier, sampling should use high-risk sample sizes throughout.
KEY RISK: Client data breaches expose the intermediary to PDPA enforcement penalties, SC disciplinary action, loss of client trust, and potential market manipulation if trading data or portfolio positions are leaked.</t>
        </is>
      </c>
    </row>
    <row r="17" ht="120" customHeight="1">
      <c r="A17" s="27" t="inlineStr">
        <is>
          <t>DET-3</t>
        </is>
      </c>
      <c r="B17" s="28" t="inlineStr">
        <is>
          <t>Client Data Protection</t>
        </is>
      </c>
      <c r="C17" s="28" t="inlineStr">
        <is>
          <t>Encryption at rest &amp; in transit</t>
        </is>
      </c>
      <c r="D17" s="28" t="inlineStr">
        <is>
          <t>1. Obtain encryption configuration evidence for client data at rest across databases (CDS account data, portfolio holdings, KYC records), file storage, and backup systems.
2. Verify that encryption standards meet AES-256 or equivalent for data at rest, and that key management procedures include rotation schedules and separation of duties.
3. Verify that client data in transit is encrypted using TLS 1.2 or higher across all channels: client-facing portals, API interfaces, inter-system transfers, and connections with Bursa Malaysia Depository.
4. Confirm that encryption extends to client data held in cloud environments and by third-party processors.</t>
        </is>
      </c>
      <c r="E17" s="28" t="inlineStr">
        <is>
          <t>Encryption configuration evidence for client databases, file storage, and backups (AES-256); TLS configuration evidence for client portals, APIs, and inter-system data transfers; Key management procedures with rotation schedules</t>
        </is>
      </c>
      <c r="F17" s="29" t="inlineStr">
        <is>
          <t>Inspection</t>
        </is>
      </c>
      <c r="G17" s="26" t="inlineStr"/>
      <c r="H17" s="26" t="inlineStr"/>
      <c r="I17" s="26" t="inlineStr"/>
      <c r="J17" s="26" t="inlineStr"/>
      <c r="K17" s="26" t="inlineStr"/>
      <c r="L17" s="26" t="inlineStr"/>
      <c r="M17">
        <f>IF(K17="Compliant",3,IF(K17="Partially Compliant",2,IF(K17="Non-Compliant",1,"")))</f>
        <v/>
      </c>
    </row>
    <row r="18" ht="120" customHeight="1">
      <c r="A18" s="24" t="inlineStr">
        <is>
          <t>DET-3</t>
        </is>
      </c>
      <c r="B18" s="11" t="inlineStr">
        <is>
          <t>Client Data Protection</t>
        </is>
      </c>
      <c r="C18" s="11" t="inlineStr">
        <is>
          <t>Role-based access controls for client systems</t>
        </is>
      </c>
      <c r="D18" s="11" t="inlineStr">
        <is>
          <t>1. Review RBAC configurations for client information systems (CRM, portfolio management, trading accounts, KYC/AML systems) and verify that access roles are defined based on least privilege.
2. Select a sample of 12 user accounts (per sampling methodology — high-risk sample for critical-tier control, population 51-100) across client-facing systems and verify that access rights match job responsibilities with no excessive privileges.
3. Obtain evidence of the most recent periodic access review (at least semi-annual) and verify that stale accounts, role changes, and segregation of duty conflicts were identified and remediated.
4. Confirm that privileged access to client data (database administrators, system administrators) is subject to enhanced controls including multi-factor authentication and session logging.</t>
        </is>
      </c>
      <c r="E18" s="11" t="inlineStr">
        <is>
          <t>RBAC configuration for client information systems; Access review results for 12 sampled user accounts; Most recent periodic access review report with remediation actions; Privileged access controls evidence (MFA, session logging)</t>
        </is>
      </c>
      <c r="F18" s="25" t="inlineStr">
        <is>
          <t>Inspection</t>
        </is>
      </c>
      <c r="G18" s="26" t="inlineStr"/>
      <c r="H18" s="26" t="inlineStr"/>
      <c r="I18" s="26" t="inlineStr"/>
      <c r="J18" s="26" t="inlineStr"/>
      <c r="K18" s="26" t="inlineStr"/>
      <c r="L18" s="26" t="inlineStr"/>
      <c r="M18">
        <f>IF(K18="Compliant",3,IF(K18="Partially Compliant",2,IF(K18="Non-Compliant",1,"")))</f>
        <v/>
      </c>
    </row>
    <row r="19" ht="120" customHeight="1">
      <c r="A19" s="27" t="inlineStr">
        <is>
          <t>DET-3</t>
        </is>
      </c>
      <c r="B19" s="28" t="inlineStr">
        <is>
          <t>Client Data Protection</t>
        </is>
      </c>
      <c r="C19" s="28" t="inlineStr">
        <is>
          <t>Data loss prevention deployment</t>
        </is>
      </c>
      <c r="D19" s="28" t="inlineStr">
        <is>
          <t>1. Review DLP tool deployment and verify coverage across email, web, endpoint, and cloud channels for client data (account numbers, NRIC/passport data, portfolio holdings, transaction records).
2. Inspect DLP policy rules and verify they are configured to detect client PII, financial data, and sensitive classification categories.
3. Select a sample of 8 DLP alerts from the last 3-6 months of operational records (per sampling methodology — high-risk sample for critical-tier control, population 16-50) and verify that each was triaged, investigated, and resolved with appropriate action (block, quarantine, or justified override).
4. Confirm that DLP monitoring covers data transfers to removable media and printing of client reports.</t>
        </is>
      </c>
      <c r="E19" s="28" t="inlineStr">
        <is>
          <t>DLP tool deployment architecture and channel coverage; DLP policy rules configured for client data categories; Sample of 8 DLP alert investigation records from last 3-6 months; DLP coverage confirmation for removable media and print channels</t>
        </is>
      </c>
      <c r="F19" s="29" t="inlineStr">
        <is>
          <t>Inspection</t>
        </is>
      </c>
      <c r="G19" s="26" t="inlineStr"/>
      <c r="H19" s="26" t="inlineStr"/>
      <c r="I19" s="26" t="inlineStr"/>
      <c r="J19" s="26" t="inlineStr"/>
      <c r="K19" s="26" t="inlineStr"/>
      <c r="L19" s="26" t="inlineStr"/>
      <c r="M19">
        <f>IF(K19="Compliant",3,IF(K19="Partially Compliant",2,IF(K19="Non-Compliant",1,"")))</f>
        <v/>
      </c>
    </row>
    <row r="20" ht="120" customHeight="1">
      <c r="A20" s="24" t="inlineStr">
        <is>
          <t>DET-3</t>
        </is>
      </c>
      <c r="B20" s="11" t="inlineStr">
        <is>
          <t>Client Data Protection</t>
        </is>
      </c>
      <c r="C20" s="11" t="inlineStr">
        <is>
          <t>Data protection impact assessments</t>
        </is>
      </c>
      <c r="D20" s="11" t="inlineStr">
        <is>
          <t>1. Obtain the most recent data protection impact assessment (DPIA) and verify it covers all client data processing activities including those performed by outsourced providers.
2. Verify that DPIAs are conducted for new client data processing activities or significant changes to existing processing (e.g., new client portal, migration to cloud, new third-party data processor). Review DPIA records from the last 12 months (per sampling methodology for annual processes).
3. Review DPIA findings and confirm that identified risks have been treated with documented mitigation measures and residual risk acceptance by appropriate management.
4. Confirm that DPIAs address cross-border data transfer risks where client data may be processed outside Malaysia.</t>
        </is>
      </c>
      <c r="E20" s="11" t="inlineStr">
        <is>
          <t>Most recent DPIA report covering all client data processing activities; DPIA register showing assessments for new or changed processing activities over last 12 months; Risk treatment records with mitigation measures and management sign-off</t>
        </is>
      </c>
      <c r="F20" s="25" t="inlineStr">
        <is>
          <t>Inspection</t>
        </is>
      </c>
      <c r="G20" s="26" t="inlineStr"/>
      <c r="H20" s="26" t="inlineStr"/>
      <c r="I20" s="26" t="inlineStr"/>
      <c r="J20" s="26" t="inlineStr"/>
      <c r="K20" s="26" t="inlineStr"/>
      <c r="L20" s="26" t="inlineStr"/>
      <c r="M20">
        <f>IF(K20="Compliant",3,IF(K20="Partially Compliant",2,IF(K20="Non-Compliant",1,"")))</f>
        <v/>
      </c>
    </row>
    <row r="21" ht="120" customHeight="1">
      <c r="A21" s="27" t="inlineStr">
        <is>
          <t>DET-3</t>
        </is>
      </c>
      <c r="B21" s="28" t="inlineStr">
        <is>
          <t>Client Data Protection</t>
        </is>
      </c>
      <c r="C21" s="28" t="inlineStr">
        <is>
          <t>Cross-border data transfer controls</t>
        </is>
      </c>
      <c r="D21" s="28" t="inlineStr">
        <is>
          <t>1. Identify all instances where client data is transferred or accessible outside Malaysia (cloud hosting, offshore service centres, group entity access, third-party processors).
2. Verify that cross-border transfers comply with PDPA requirements, including adequacy assessments for recipient jurisdictions or appropriate contractual safeguards.
3. Review contractual provisions with offshore processors and confirm they include data protection obligations, breach notification requirements, and right-to-audit clauses.
4. Confirm that the entity maintains a register of cross-border data flows and that this register is reviewed at least annually (per sampling methodology for annual processes). Obtain the current register and the last 12 months of review records.</t>
        </is>
      </c>
      <c r="E21" s="28" t="inlineStr">
        <is>
          <t>Register of cross-border client data transfers; PDPA adequacy assessments or contractual safeguards for each transfer; Contractual provisions with offshore processors covering data protection; Annual review evidence for cross-border data flow register (last 12 months)</t>
        </is>
      </c>
      <c r="F21" s="29" t="inlineStr">
        <is>
          <t>Inspection / Inquiry</t>
        </is>
      </c>
      <c r="G21" s="26" t="inlineStr"/>
      <c r="H21" s="26" t="inlineStr"/>
      <c r="I21" s="26" t="inlineStr"/>
      <c r="J21" s="26" t="inlineStr"/>
      <c r="K21" s="26" t="inlineStr"/>
      <c r="L21" s="26" t="inlineStr"/>
      <c r="M21">
        <f>IF(K21="Compliant",3,IF(K21="Partially Compliant",2,IF(K21="Non-Compliant",1,"")))</f>
        <v/>
      </c>
    </row>
    <row r="22" ht="24" customHeight="1">
      <c r="A22" s="32" t="inlineStr">
        <is>
          <t>DET-4 — Algorithmic Trading Governance [CONDITIONAL]</t>
        </is>
      </c>
    </row>
    <row r="23" ht="72" customHeight="1">
      <c r="A23" s="23" t="inlineStr">
        <is>
          <t>PURPOSE: SC-GL/6-2023 requires governance controls over algorithmic trading where an intermediary deploys automated trading strategies. This control is conditionally applicable — it applies only if the entity uses algorithmic or automated trading systems for proprietary trading, client order execution, or market-making activities. SC advisories on algorithmic trading impose specific governance expectations for approval, testing, monitoring, and documentation of trading algorithms.
EXPECTATION: The assessor should first determine whether the intermediary uses algorithmic trading. If no algorithmic trading is in use, document the determination with management confirmation and mark all DET-4 sub-procedures as N/A. If algorithmic trading is in scope, the assessor should expect to find a formal algorithm approval process with risk and compliance review, mandatory testing (backtesting and simulation) before production deployment, continuous production monitoring during trading hours, periodic re-approval of all production algorithms, and a complete algorithm inventory with version-controlled documentation.
KEY RISK: Uncontrolled algorithmic trading can cause market disruption, erroneous trades, flash-crash scenarios, and regulatory penalties from Bursa Malaysia and SC — with potential systemic impact on market integrity.</t>
        </is>
      </c>
    </row>
    <row r="24" ht="120" customHeight="1">
      <c r="A24" s="24" t="inlineStr">
        <is>
          <t>DET-4</t>
        </is>
      </c>
      <c r="B24" s="11" t="inlineStr">
        <is>
          <t>Algorithmic Trading Governance</t>
        </is>
      </c>
      <c r="C24" s="11" t="inlineStr">
        <is>
          <t>Algorithm approval process</t>
        </is>
      </c>
      <c r="D24" s="11" t="inlineStr">
        <is>
          <t>1. Obtain the algorithmic trading governance policy (current version plus prior version per sampling methodology) and verify it defines the end-to-end approval process for new algorithms, including roles (requester, risk assessor, compliance reviewer, approver) and required artefacts.
2. Select a sample of 3 algorithm approval records from the last 12 months (per sampling methodology for annual processes, from a population of 6-15) and verify that each followed the defined process with risk assessment, compliance review (including Bursa Malaysia trading rules), and formal committee or designated authority sign-off before production deployment.
3. Confirm that the approval process requires documentation of the algorithm's intended trading strategy, target instruments, expected order flow characteristics, and risk parameters.
4. Verify that the governance policy addresses algorithm modifications — confirm that material changes to approved algorithms require re-approval through the same process.</t>
        </is>
      </c>
      <c r="E24" s="11" t="inlineStr">
        <is>
          <t>Algorithmic trading governance policy (current version + prior); Sample of 3 algorithm approval records with risk assessment and compliance sign-off; Committee or authority approval minutes; Change management records for algorithm modifications</t>
        </is>
      </c>
      <c r="F24" s="25" t="inlineStr">
        <is>
          <t>Inspection / Inquiry</t>
        </is>
      </c>
      <c r="G24" s="26" t="inlineStr"/>
      <c r="H24" s="26" t="inlineStr"/>
      <c r="I24" s="26" t="inlineStr"/>
      <c r="J24" s="26" t="inlineStr"/>
      <c r="K24" s="26" t="inlineStr"/>
      <c r="L24" s="26" t="inlineStr"/>
      <c r="M24">
        <f>IF(K24="Compliant",3,IF(K24="Partially Compliant",2,IF(K24="Non-Compliant",1,"")))</f>
        <v/>
      </c>
    </row>
    <row r="25" ht="120" customHeight="1">
      <c r="A25" s="27" t="inlineStr">
        <is>
          <t>DET-4</t>
        </is>
      </c>
      <c r="B25" s="28" t="inlineStr">
        <is>
          <t>Algorithmic Trading Governance</t>
        </is>
      </c>
      <c r="C25" s="28" t="inlineStr">
        <is>
          <t>Testing requirements (backtesting &amp; simulation)</t>
        </is>
      </c>
      <c r="D25" s="28" t="inlineStr">
        <is>
          <t>1. Review the algorithm testing standards and verify they mandate backtesting against historical market data, simulation testing in non-production environments, and stress testing under extreme market conditions before production deployment.
2. Select a sample of 3 recently approved algorithms (per sampling methodology, from a population of 6-15) and inspect backtesting records, confirming tests used representative Bursa Malaysia historical data including periods of high volatility (e.g., market corrections, circuit breaker events).
3. Verify that simulation testing is conducted in an environment that replicates production market connectivity and order routing but is isolated from live markets.
4. Confirm that test results are reviewed and signed off by risk management and compliance before production deployment is authorised.</t>
        </is>
      </c>
      <c r="E25" s="28" t="inlineStr">
        <is>
          <t>Algorithm testing standards (backtesting, simulation, stress testing requirements); Backtesting results for 3 sampled algorithms using Bursa historical data; Simulation environment configuration and test execution records; Risk and compliance sign-off on test results</t>
        </is>
      </c>
      <c r="F25" s="29" t="inlineStr">
        <is>
          <t>Inspection</t>
        </is>
      </c>
      <c r="G25" s="26" t="inlineStr"/>
      <c r="H25" s="26" t="inlineStr"/>
      <c r="I25" s="26" t="inlineStr"/>
      <c r="J25" s="26" t="inlineStr"/>
      <c r="K25" s="26" t="inlineStr"/>
      <c r="L25" s="26" t="inlineStr"/>
      <c r="M25">
        <f>IF(K25="Compliant",3,IF(K25="Partially Compliant",2,IF(K25="Non-Compliant",1,"")))</f>
        <v/>
      </c>
    </row>
    <row r="26" ht="120" customHeight="1">
      <c r="A26" s="24" t="inlineStr">
        <is>
          <t>DET-4</t>
        </is>
      </c>
      <c r="B26" s="11" t="inlineStr">
        <is>
          <t>Algorithmic Trading Governance</t>
        </is>
      </c>
      <c r="C26" s="11" t="inlineStr">
        <is>
          <t>Production monitoring &amp; performance oversight</t>
        </is>
      </c>
      <c r="D26" s="11" t="inlineStr">
        <is>
          <t>1. Review production monitoring arrangements for algorithmic trading and verify that performance metrics (fill rates, slippage, order-to-trade ratios) and risk metrics (position exposure, P&amp;L variance) are tracked continuously during market hours.
2. Inspect monitoring dashboards or reports from the last 3-6 months of operational records (per sampling methodology) and confirm that anomalies are flagged, investigated, and escalated where thresholds are breached.
3. Verify that monitoring includes detection of unintended trading patterns that could indicate algorithm malfunction (e.g., rapid order submission/cancellation, unusual concentration in specific instruments). Review continuous monitoring data from the last 30 days (per sampling methodology).
4. Interview the trading desk and compliance to confirm who monitors algorithms in real-time and the escalation path when anomalous behaviour is detected.</t>
        </is>
      </c>
      <c r="E26" s="11" t="inlineStr">
        <is>
          <t>Algorithm production monitoring dashboards or reports for last 3-6 months; Continuous monitoring data from last 30 days; Anomaly detection and investigation records; Escalation procedures for algorithm monitoring alerts; Evidence of real-time monitoring coverage during trading hours</t>
        </is>
      </c>
      <c r="F26" s="25" t="inlineStr">
        <is>
          <t>Inspection / Inquiry</t>
        </is>
      </c>
      <c r="G26" s="26" t="inlineStr"/>
      <c r="H26" s="26" t="inlineStr"/>
      <c r="I26" s="26" t="inlineStr"/>
      <c r="J26" s="26" t="inlineStr"/>
      <c r="K26" s="26" t="inlineStr"/>
      <c r="L26" s="26" t="inlineStr"/>
      <c r="M26">
        <f>IF(K26="Compliant",3,IF(K26="Partially Compliant",2,IF(K26="Non-Compliant",1,"")))</f>
        <v/>
      </c>
    </row>
    <row r="27" ht="120" customHeight="1">
      <c r="A27" s="27" t="inlineStr">
        <is>
          <t>DET-4</t>
        </is>
      </c>
      <c r="B27" s="28" t="inlineStr">
        <is>
          <t>Algorithmic Trading Governance</t>
        </is>
      </c>
      <c r="C27" s="28" t="inlineStr">
        <is>
          <t>Periodic re-approval &amp; review</t>
        </is>
      </c>
      <c r="D27" s="28" t="inlineStr">
        <is>
          <t>1. Verify that the governance framework requires periodic review and re-approval of all production algorithms, at minimum annually.
2. Obtain the schedule or register of algorithm reviews and confirm that all production algorithms have been reviewed within the last 12 months (per sampling methodology for annual processes).
3. Select a sample of 3 algorithm re-approval records (per sampling methodology, from a population of 6-15) and verify that the review assessed continued alignment with trading strategy, regulatory requirements (Bursa rules, SC advisories), performance against expectations, and risk parameter appropriateness.
4. Confirm that the review process can result in algorithm modification, parameter adjustment, or decommissioning, and inspect any decommissioning records from the last 12 months.</t>
        </is>
      </c>
      <c r="E27" s="28" t="inlineStr">
        <is>
          <t>Algorithm review schedule or register; Sample of 3 re-approval records with assessment of strategy alignment and regulatory compliance; Decommissioning records where applicable; Evidence of annual review completion for all production algorithms (last 12 months)</t>
        </is>
      </c>
      <c r="F27" s="29" t="inlineStr">
        <is>
          <t>Inspection</t>
        </is>
      </c>
      <c r="G27" s="26" t="inlineStr"/>
      <c r="H27" s="26" t="inlineStr"/>
      <c r="I27" s="26" t="inlineStr"/>
      <c r="J27" s="26" t="inlineStr"/>
      <c r="K27" s="26" t="inlineStr"/>
      <c r="L27" s="26" t="inlineStr"/>
      <c r="M27">
        <f>IF(K27="Compliant",3,IF(K27="Partially Compliant",2,IF(K27="Non-Compliant",1,"")))</f>
        <v/>
      </c>
    </row>
    <row r="28" ht="120" customHeight="1">
      <c r="A28" s="24" t="inlineStr">
        <is>
          <t>DET-4</t>
        </is>
      </c>
      <c r="B28" s="11" t="inlineStr">
        <is>
          <t>Algorithmic Trading Governance</t>
        </is>
      </c>
      <c r="C28" s="11" t="inlineStr">
        <is>
          <t>Algorithm inventory &amp; documentation</t>
        </is>
      </c>
      <c r="D28" s="11" t="inlineStr">
        <is>
          <t>1. Obtain the algorithm inventory and verify it lists all algorithms in production, in testing, and decommissioned, with key attributes: name, version, strategy type, target instruments, deployment date, owner, and current status.
2. Verify that each production algorithm has associated documentation covering its design rationale, trading logic description, risk parameters, and dependencies on market data feeds or infrastructure.
3. Confirm that the inventory is kept current — cross-reference against trading system records to verify no undocumented algorithms are running in production.
4. Verify that version control is maintained for algorithm code and configuration, with an audit trail of changes.</t>
        </is>
      </c>
      <c r="E28" s="11" t="inlineStr">
        <is>
          <t>Algorithm inventory register with production, testing, and decommissioned entries; Algorithm documentation for sampled entries (design rationale, trading logic, parameters); Version control records for algorithm code; Cross-reference verification against trading system records</t>
        </is>
      </c>
      <c r="F28" s="25" t="inlineStr">
        <is>
          <t>Inspection</t>
        </is>
      </c>
      <c r="G28" s="26" t="inlineStr"/>
      <c r="H28" s="26" t="inlineStr"/>
      <c r="I28" s="26" t="inlineStr"/>
      <c r="J28" s="26" t="inlineStr"/>
      <c r="K28" s="26" t="inlineStr"/>
      <c r="L28" s="26" t="inlineStr"/>
      <c r="M28">
        <f>IF(K28="Compliant",3,IF(K28="Partially Compliant",2,IF(K28="Non-Compliant",1,"")))</f>
        <v/>
      </c>
    </row>
    <row r="29" ht="24" customHeight="1">
      <c r="A29" s="32" t="inlineStr">
        <is>
          <t>DET-5 — AI/ML Risk Management [CONDITIONAL]</t>
        </is>
      </c>
    </row>
    <row r="30" ht="72" customHeight="1">
      <c r="A30" s="23" t="inlineStr">
        <is>
          <t>PURPOSE: SC-GL/6-2023 requires risk management controls over AI and machine learning deployments in capital market operations. This control is conditionally applicable — it applies only if the entity deploys AI/ML models in any capacity (trading strategy optimisation, compliance screening, client suitability assessment, robo-advisory, AML detection, or other operational use cases). SC advisories on AI governance set expectations for model risk management proportionate to the impact of AI-driven decisions.
EXPECTATION: The assessor should first determine whether the intermediary deploys any AI/ML models. If no AI/ML is in use, document the determination with management confirmation and mark all DET-5 sub-procedures as N/A. If AI/ML is in scope, the assessor should expect to find a risk-tiered model inventory, independent model validation before production deployment, bias assessments for client-facing models, explainability mechanisms for high-impact decisions, and continuous model monitoring with defined drift detection thresholds and lifecycle management from development through retirement.
KEY RISK: Uncontrolled AI/ML models can produce biased client recommendations, unreliable compliance screening, or flawed trading decisions — resulting in client harm, regulatory penalties from SC, and reputational damage to the intermediary.</t>
        </is>
      </c>
    </row>
    <row r="31" ht="120" customHeight="1">
      <c r="A31" s="27" t="inlineStr">
        <is>
          <t>DET-5</t>
        </is>
      </c>
      <c r="B31" s="28" t="inlineStr">
        <is>
          <t>AI/ML Risk Management</t>
        </is>
      </c>
      <c r="C31" s="28" t="inlineStr">
        <is>
          <t>Model risk assessment</t>
        </is>
      </c>
      <c r="D31" s="28" t="inlineStr">
        <is>
          <t>1. Obtain the inventory of AI/ML models deployed in capital market operations (trading strategy optimisation, compliance screening, client suitability assessment, robo-advisory, AML detection) and verify each has a documented risk assessment.
2. Review model risk assessments for the 2-3 highest-risk AI/ML applications and verify that risk is evaluated across dimensions: accuracy and reliability, operational dependency, data quality requirements, and potential impact of model failure on clients or market integrity.
3. Confirm that model risk is tiered (e.g., high, medium, low) and that governance rigour is proportionate to the risk tier.
4. Verify that model risk assessments are reviewed and updated at least annually (per sampling methodology for annual processes) or when material changes occur to the model or its operating environment.</t>
        </is>
      </c>
      <c r="E31" s="28" t="inlineStr">
        <is>
          <t>AI/ML model inventory with risk tier assignments; Model risk assessment documents for 2-3 highest-risk applications; Risk tiering criteria and governance requirements by tier; Evidence of annual review or update of model risk assessments (last 12 months)</t>
        </is>
      </c>
      <c r="F31" s="29" t="inlineStr">
        <is>
          <t>Inspection / Inquiry</t>
        </is>
      </c>
      <c r="G31" s="26" t="inlineStr"/>
      <c r="H31" s="26" t="inlineStr"/>
      <c r="I31" s="26" t="inlineStr"/>
      <c r="J31" s="26" t="inlineStr"/>
      <c r="K31" s="26" t="inlineStr"/>
      <c r="L31" s="26" t="inlineStr"/>
      <c r="M31">
        <f>IF(K31="Compliant",3,IF(K31="Partially Compliant",2,IF(K31="Non-Compliant",1,"")))</f>
        <v/>
      </c>
    </row>
    <row r="32" ht="120" customHeight="1">
      <c r="A32" s="24" t="inlineStr">
        <is>
          <t>DET-5</t>
        </is>
      </c>
      <c r="B32" s="11" t="inlineStr">
        <is>
          <t>AI/ML Risk Management</t>
        </is>
      </c>
      <c r="C32" s="11" t="inlineStr">
        <is>
          <t>Model validation &amp; testing</t>
        </is>
      </c>
      <c r="D32" s="11" t="inlineStr">
        <is>
          <t>1. Review model validation procedures (current version plus prior version per sampling methodology) and verify they require independent validation (by a party not involved in model development) before production deployment and periodically thereafter.
2. Select a sample of 2 AI/ML model validation reports and verify that validation covered model methodology appropriateness, data quality and representativeness, performance metrics, and limitations.
3. Confirm that ongoing model performance monitoring is in place, including drift detection for models used in trading strategies or client suitability assessments. Review continuous monitoring data from the last 30 days (per sampling methodology).
4. Verify that model performance degradation or drift triggers re-validation and that thresholds for re-validation are defined.</t>
        </is>
      </c>
      <c r="E32" s="11" t="inlineStr">
        <is>
          <t>Model validation procedures (current version + prior); Sample of 2 model validation reports with methodology and performance assessment; Model performance monitoring dashboards or reports including last 30 days; Drift detection configuration and trigger thresholds</t>
        </is>
      </c>
      <c r="F32" s="25" t="inlineStr">
        <is>
          <t>Inspection</t>
        </is>
      </c>
      <c r="G32" s="26" t="inlineStr"/>
      <c r="H32" s="26" t="inlineStr"/>
      <c r="I32" s="26" t="inlineStr"/>
      <c r="J32" s="26" t="inlineStr"/>
      <c r="K32" s="26" t="inlineStr"/>
      <c r="L32" s="26" t="inlineStr"/>
      <c r="M32">
        <f>IF(K32="Compliant",3,IF(K32="Partially Compliant",2,IF(K32="Non-Compliant",1,"")))</f>
        <v/>
      </c>
    </row>
    <row r="33" ht="120" customHeight="1">
      <c r="A33" s="27" t="inlineStr">
        <is>
          <t>DET-5</t>
        </is>
      </c>
      <c r="B33" s="28" t="inlineStr">
        <is>
          <t>AI/ML Risk Management</t>
        </is>
      </c>
      <c r="C33" s="28" t="inlineStr">
        <is>
          <t>Algorithmic bias assessment</t>
        </is>
      </c>
      <c r="D33" s="28" t="inlineStr">
        <is>
          <t>1. Identify all AI/ML models used in client-facing decisions (robo-advisory recommendations, client suitability scoring, credit or margin assessments, KYC risk scoring) and verify that bias assessments have been conducted.
2. Review bias assessment methodology and confirm it tests for demographic bias, data representation bias, and outcome fairness across protected attributes.
3. Select a sample of 2 bias assessment reports and verify that findings are documented, mitigation actions are defined for identified biases, and re-testing confirms mitigation effectiveness.
4. Confirm that bias assessment is repeated at least annually (per sampling methodology for annual processes) and when models are retrained on new data.</t>
        </is>
      </c>
      <c r="E33" s="28" t="inlineStr">
        <is>
          <t>List of client-facing AI/ML models subject to bias assessment; Bias assessment methodology documentation; Sample of 2 bias assessment reports with findings and mitigation actions; Re-testing evidence confirming mitigation effectiveness</t>
        </is>
      </c>
      <c r="F33" s="29" t="inlineStr">
        <is>
          <t>Inspection</t>
        </is>
      </c>
      <c r="G33" s="26" t="inlineStr"/>
      <c r="H33" s="26" t="inlineStr"/>
      <c r="I33" s="26" t="inlineStr"/>
      <c r="J33" s="26" t="inlineStr"/>
      <c r="K33" s="26" t="inlineStr"/>
      <c r="L33" s="26" t="inlineStr"/>
      <c r="M33">
        <f>IF(K33="Compliant",3,IF(K33="Partially Compliant",2,IF(K33="Non-Compliant",1,"")))</f>
        <v/>
      </c>
    </row>
    <row r="34" ht="120" customHeight="1">
      <c r="A34" s="24" t="inlineStr">
        <is>
          <t>DET-5</t>
        </is>
      </c>
      <c r="B34" s="11" t="inlineStr">
        <is>
          <t>AI/ML Risk Management</t>
        </is>
      </c>
      <c r="C34" s="11" t="inlineStr">
        <is>
          <t>Explainability requirements</t>
        </is>
      </c>
      <c r="D34" s="11" t="inlineStr">
        <is>
          <t>1. Review the entity's explainability policy for AI/ML-driven decisions (current version plus prior version per sampling methodology) and verify it defines which decisions require explainability (investment recommendations, suitability assessments, compliance screening outcomes).
2. Verify that explainability mechanisms are implemented for high-impact models — inspect sample outputs showing how decisions can be explained to clients and regulators.
3. Confirm that compliance and client-facing staff can articulate how AI/ML recommendations are generated when queried by clients or during SC examination.
4. Determine whether the entity has assessed explainability requirements against SC advisories on AI governance and algorithmic trading.</t>
        </is>
      </c>
      <c r="E34" s="11" t="inlineStr">
        <is>
          <t>Explainability policy (current version + prior) defining requirements by decision type; Sample explainability outputs for high-impact AI/ML models; Training records for compliance and client-facing staff on AI/ML explainability; Assessment of SC advisory alignment for AI governance</t>
        </is>
      </c>
      <c r="F34" s="25" t="inlineStr">
        <is>
          <t>Inspection / Inquiry</t>
        </is>
      </c>
      <c r="G34" s="26" t="inlineStr"/>
      <c r="H34" s="26" t="inlineStr"/>
      <c r="I34" s="26" t="inlineStr"/>
      <c r="J34" s="26" t="inlineStr"/>
      <c r="K34" s="26" t="inlineStr"/>
      <c r="L34" s="26" t="inlineStr"/>
      <c r="M34">
        <f>IF(K34="Compliant",3,IF(K34="Partially Compliant",2,IF(K34="Non-Compliant",1,"")))</f>
        <v/>
      </c>
    </row>
    <row r="35" ht="120" customHeight="1">
      <c r="A35" s="27" t="inlineStr">
        <is>
          <t>DET-5</t>
        </is>
      </c>
      <c r="B35" s="28" t="inlineStr">
        <is>
          <t>AI/ML Risk Management</t>
        </is>
      </c>
      <c r="C35" s="28" t="inlineStr">
        <is>
          <t>Model monitoring &amp; lifecycle management</t>
        </is>
      </c>
      <c r="D35" s="28" t="inlineStr">
        <is>
          <t>1. Review the model lifecycle management process covering development, validation, deployment, monitoring, and retirement of AI/ML models.
2. Verify that production models are continuously monitored for performance degradation, data drift, and concept drift, with defined thresholds and alert mechanisms. Review continuous monitoring data from the last 30 days (per sampling methodology).
3. Select a sample of monitoring reports for 2 production AI/ML models from the last 3-6 months of operational records (per sampling methodology) and confirm that monitoring is active and that any triggered alerts were investigated.
4. Confirm that model retirement procedures exist and that decommissioned models are documented with reasons for retirement and any replacement model references.</t>
        </is>
      </c>
      <c r="E35" s="28" t="inlineStr">
        <is>
          <t>Model lifecycle management procedures (development through retirement); Model monitoring reports for 2 sampled production models from last 3-6 months; Continuous monitoring data from last 30 days; Alert investigation records for triggered monitoring thresholds; Model retirement procedures and decommissioning records</t>
        </is>
      </c>
      <c r="F35" s="29" t="inlineStr">
        <is>
          <t>Inspection</t>
        </is>
      </c>
      <c r="G35" s="26" t="inlineStr"/>
      <c r="H35" s="26" t="inlineStr"/>
      <c r="I35" s="26" t="inlineStr"/>
      <c r="J35" s="26" t="inlineStr"/>
      <c r="K35" s="26" t="inlineStr"/>
      <c r="L35" s="26" t="inlineStr"/>
      <c r="M35">
        <f>IF(K35="Compliant",3,IF(K35="Partially Compliant",2,IF(K35="Non-Compliant",1,"")))</f>
        <v/>
      </c>
    </row>
    <row r="36" ht="24" customHeight="1">
      <c r="A36" s="32" t="inlineStr">
        <is>
          <t>DET-6 — DLT &amp; Digital Asset Controls [CONDITIONAL]</t>
        </is>
      </c>
    </row>
    <row r="37" ht="72" customHeight="1">
      <c r="A37" s="23" t="inlineStr">
        <is>
          <t>PURPOSE: SC-GL/6-2023 requires technology risk controls over distributed ledger technology and digital asset activities undertaken by capital market intermediaries. This control is conditionally applicable — it applies only if the entity operates or participates in a digital asset exchange (DAX), engages in tokenised securities, provides digital asset custody, or uses blockchain-based settlement. SC's regulatory framework for digital assets (including SC-GL/9-2020) imposes specific licensing and operational requirements.
EXPECTATION: The assessor should first determine whether the intermediary has any DLT or digital asset activities. If no such activities exist, document the determination with management confirmation and mark remaining DET-6 sub-procedures as N/A. If activities are in scope, the assessor should expect to find independent smart contract security audits, HSM-based key management with multi-signature controls, demonstrated compliance with SC's digital asset regulatory framework, and comprehensive DLT infrastructure monitoring with security detection capabilities.
KEY RISK: Inadequate DLT and digital asset controls expose the intermediary to loss of client digital assets through key compromise, smart contract vulnerabilities, regulatory non-compliance with SC digital asset guidelines, and operational failures in blockchain-based systems.</t>
        </is>
      </c>
    </row>
    <row r="38" ht="120" customHeight="1">
      <c r="A38" s="24" t="inlineStr">
        <is>
          <t>DET-6</t>
        </is>
      </c>
      <c r="B38" s="11" t="inlineStr">
        <is>
          <t>DLT &amp; Digital Asset Controls</t>
        </is>
      </c>
      <c r="C38" s="11" t="inlineStr">
        <is>
          <t>Applicability assessment</t>
        </is>
      </c>
      <c r="D38" s="11" t="inlineStr">
        <is>
          <t>1. Determine whether the intermediary engages in or plans to engage in any DLT or digital asset activities (operating or participating in a digital asset exchange (DAX), tokenised securities, digital asset custody, blockchain-based settlement).
2. If the entity has no DLT or digital asset activities, document the determination with a brief rationale, confirm with management, and mark remaining DET-6 sub-procedures as N/A.
3. If DLT or digital asset activities exist, obtain the inventory of all deployments and verify that each has been risk-assessed under the entity's technology risk framework.
4. Verify that the entity has assessed whether its digital asset activities require SC licensing as a recognized market operator (RMO) for digital assets or other regulatory approvals.</t>
        </is>
      </c>
      <c r="E38" s="11" t="inlineStr">
        <is>
          <t>Management confirmation of DLT/digital asset activity status; Inventory of DLT/digital asset deployments with risk assessments (if applicable); SC licensing assessment for digital asset activities; N/A determination record (if no activities)</t>
        </is>
      </c>
      <c r="F38" s="25" t="inlineStr">
        <is>
          <t>Inquiry</t>
        </is>
      </c>
      <c r="G38" s="26" t="inlineStr"/>
      <c r="H38" s="26" t="inlineStr"/>
      <c r="I38" s="26" t="inlineStr"/>
      <c r="J38" s="26" t="inlineStr"/>
      <c r="K38" s="26" t="inlineStr"/>
      <c r="L38" s="26" t="inlineStr"/>
      <c r="M38">
        <f>IF(K38="Compliant",3,IF(K38="Partially Compliant",2,IF(K38="Non-Compliant",1,"")))</f>
        <v/>
      </c>
    </row>
    <row r="39" ht="120" customHeight="1">
      <c r="A39" s="27" t="inlineStr">
        <is>
          <t>DET-6</t>
        </is>
      </c>
      <c r="B39" s="28" t="inlineStr">
        <is>
          <t>DLT &amp; Digital Asset Controls</t>
        </is>
      </c>
      <c r="C39" s="28" t="inlineStr">
        <is>
          <t>Smart contract security</t>
        </is>
      </c>
      <c r="D39" s="28" t="inlineStr">
        <is>
          <t>1. Obtain the smart contract security policy (current version plus prior version per sampling methodology) and verify it requires independent security audits before any smart contract is deployed to production (mainnet or permissioned ledger).
2. Select a sample of 2 smart contract deployment records and verify that independent code audits were conducted, findings were remediated before deployment, and formal sign-off was obtained.
3. Verify that the entity assesses whether formal verification is warranted for high-value smart contracts (e.g., contracts handling client assets, settlement logic, or token issuance).
4. Confirm that smart contract upgrade or modification procedures require re-audit and re-approval through the same governance process.</t>
        </is>
      </c>
      <c r="E39" s="28" t="inlineStr">
        <is>
          <t>Smart contract security policy (current version + prior); Audit reports for 2 sampled smart contract deployments with remediation evidence; Formal verification assessment for high-value contracts; Change management records for smart contract modifications</t>
        </is>
      </c>
      <c r="F39" s="29" t="inlineStr">
        <is>
          <t>Inspection</t>
        </is>
      </c>
      <c r="G39" s="26" t="inlineStr"/>
      <c r="H39" s="26" t="inlineStr"/>
      <c r="I39" s="26" t="inlineStr"/>
      <c r="J39" s="26" t="inlineStr"/>
      <c r="K39" s="26" t="inlineStr"/>
      <c r="L39" s="26" t="inlineStr"/>
      <c r="M39">
        <f>IF(K39="Compliant",3,IF(K39="Partially Compliant",2,IF(K39="Non-Compliant",1,"")))</f>
        <v/>
      </c>
    </row>
    <row r="40" ht="120" customHeight="1">
      <c r="A40" s="24" t="inlineStr">
        <is>
          <t>DET-6</t>
        </is>
      </c>
      <c r="B40" s="11" t="inlineStr">
        <is>
          <t>DLT &amp; Digital Asset Controls</t>
        </is>
      </c>
      <c r="C40" s="11" t="inlineStr">
        <is>
          <t>Key management &amp; wallet controls</t>
        </is>
      </c>
      <c r="D40" s="11" t="inlineStr">
        <is>
          <t>1. Review key management procedures (current version plus prior version per sampling methodology) for digital assets and verify they address key generation (secure random generation, ceremony procedures), storage (HSM or cold storage for material holdings), access controls, and backup/recovery.
2. Verify that private keys securing client digital assets are stored in HSMs or equivalent hardware security with multi-signature or threshold signature schemes for high-value transactions.
3. Inspect access controls for wallet operations and confirm that segregation of duties is enforced — no single individual can authorise and execute a digital asset transfer.
4. Review key recovery and succession procedures and confirm they have been tested within the last 12 months (per sampling methodology for annual processes), with results documented.</t>
        </is>
      </c>
      <c r="E40" s="11" t="inlineStr">
        <is>
          <t>Key management procedures (current version + prior) covering generation, storage, access, and recovery; HSM or cold storage configuration evidence for private keys; Multi-signature scheme configuration for high-value transactions; Key recovery test results from last 12 months and succession procedures</t>
        </is>
      </c>
      <c r="F40" s="25" t="inlineStr">
        <is>
          <t>Inspection</t>
        </is>
      </c>
      <c r="G40" s="26" t="inlineStr"/>
      <c r="H40" s="26" t="inlineStr"/>
      <c r="I40" s="26" t="inlineStr"/>
      <c r="J40" s="26" t="inlineStr"/>
      <c r="K40" s="26" t="inlineStr"/>
      <c r="L40" s="26" t="inlineStr"/>
      <c r="M40">
        <f>IF(K40="Compliant",3,IF(K40="Partially Compliant",2,IF(K40="Non-Compliant",1,"")))</f>
        <v/>
      </c>
    </row>
    <row r="41" ht="120" customHeight="1">
      <c r="A41" s="27" t="inlineStr">
        <is>
          <t>DET-6</t>
        </is>
      </c>
      <c r="B41" s="28" t="inlineStr">
        <is>
          <t>DLT &amp; Digital Asset Controls</t>
        </is>
      </c>
      <c r="C41" s="28" t="inlineStr">
        <is>
          <t>Regulatory compliance for digital assets</t>
        </is>
      </c>
      <c r="D41" s="28" t="inlineStr">
        <is>
          <t>1. Verify that the entity's digital asset activities comply with SC's regulatory framework for digital assets, including Guidelines on Digital Assets (SC-GL/9-2020) and any subsequent amendments or advisories.
2. Confirm that DAX requirements are met where applicable: investor suitability assessment, custody segregation, AML/CFT controls for digital asset transactions, and operational resilience standards.
3. Review records of SC notifications or approvals obtained for digital asset activities and verify that any conditions imposed by SC have been implemented.
4. Confirm that the entity monitors SC advisories and guideline updates related to digital assets and has a process to assess impact and achieve compliance with new requirements. Review the last 12 months of regulatory change monitoring records (per sampling methodology for annual processes).</t>
        </is>
      </c>
      <c r="E41" s="28" t="inlineStr">
        <is>
          <t>SC licensing or approval records for digital asset activities; Compliance assessment against SC-GL/9-2020 and DAX requirements; SC notification and condition tracking records; Regulatory change monitoring process and records for digital asset guidelines (last 12 months)</t>
        </is>
      </c>
      <c r="F41" s="29" t="inlineStr">
        <is>
          <t>Inspection / Inquiry</t>
        </is>
      </c>
      <c r="G41" s="26" t="inlineStr"/>
      <c r="H41" s="26" t="inlineStr"/>
      <c r="I41" s="26" t="inlineStr"/>
      <c r="J41" s="26" t="inlineStr"/>
      <c r="K41" s="26" t="inlineStr"/>
      <c r="L41" s="26" t="inlineStr"/>
      <c r="M41">
        <f>IF(K41="Compliant",3,IF(K41="Partially Compliant",2,IF(K41="Non-Compliant",1,"")))</f>
        <v/>
      </c>
    </row>
    <row r="42" ht="120" customHeight="1">
      <c r="A42" s="24" t="inlineStr">
        <is>
          <t>DET-6</t>
        </is>
      </c>
      <c r="B42" s="11" t="inlineStr">
        <is>
          <t>DLT &amp; Digital Asset Controls</t>
        </is>
      </c>
      <c r="C42" s="11" t="inlineStr">
        <is>
          <t>DLT infrastructure monitoring</t>
        </is>
      </c>
      <c r="D42" s="11" t="inlineStr">
        <is>
          <t>1. Review DLT infrastructure monitoring arrangements and verify they cover node health and availability, consensus mechanism performance, transaction throughput and latency, and storage capacity.
2. Inspect monitoring dashboards or reports from the last 3-6 months of operational records (per sampling methodology) and confirm that infrastructure metrics are tracked against defined thresholds with alerting for anomalies.
3. Verify that security monitoring is in place for the DLT infrastructure, including detection of unauthorised node access, abnormal transaction patterns, and smart contract exploitation attempts. Review continuous monitoring data from the last 30 days (per sampling methodology).
4. Confirm that incident response procedures specifically address DLT-related incidents including chain forks, consensus failures, and smart contract vulnerabilities discovered post-deployment.</t>
        </is>
      </c>
      <c r="E42" s="11" t="inlineStr">
        <is>
          <t>DLT infrastructure monitoring configuration and dashboards; Monitoring reports from last 3-6 months with threshold definitions; Security monitoring rules for DLT-specific threats including last 30 days continuous monitoring data; DLT-specific incident response procedures</t>
        </is>
      </c>
      <c r="F42" s="25" t="inlineStr">
        <is>
          <t>Inspection</t>
        </is>
      </c>
      <c r="G42" s="26" t="inlineStr"/>
      <c r="H42" s="26" t="inlineStr"/>
      <c r="I42" s="26" t="inlineStr"/>
      <c r="J42" s="26" t="inlineStr"/>
      <c r="K42" s="26" t="inlineStr"/>
      <c r="L42" s="26" t="inlineStr"/>
      <c r="M42">
        <f>IF(K42="Compliant",3,IF(K42="Partially Compliant",2,IF(K42="Non-Compliant",1,"")))</f>
        <v/>
      </c>
    </row>
    <row r="44" ht="28" customHeight="1">
      <c r="A44" s="31" t="inlineStr">
        <is>
          <t>This work program is constructed for educational purposes. Customise for your engagement. Not legal or regulatory advice. AI-generated content — review and validate before use.</t>
        </is>
      </c>
    </row>
  </sheetData>
  <autoFilter ref="A1:L1"/>
  <mergeCells count="13">
    <mergeCell ref="A30:L30"/>
    <mergeCell ref="A2:L2"/>
    <mergeCell ref="A16:L16"/>
    <mergeCell ref="A15:L15"/>
    <mergeCell ref="A10:L10"/>
    <mergeCell ref="A29:L29"/>
    <mergeCell ref="A23:L23"/>
    <mergeCell ref="A37:L37"/>
    <mergeCell ref="A36:L36"/>
    <mergeCell ref="A44:L44"/>
    <mergeCell ref="A22:L22"/>
    <mergeCell ref="A9:L9"/>
    <mergeCell ref="A3:L3"/>
  </mergeCells>
  <dataValidations count="1">
    <dataValidation sqref="K4 K5 K6 K7 K8 K11 K12 K13 K14 K17 K18 K19 K20 K21 K24 K25 K26 K27 K28 K31 K32 K33 K34 K35 K38 K39 K40 K41 K42" showDropDown="0" showInputMessage="0" showErrorMessage="0" allowBlank="1" errorTitle="Invalid Conclusion" error="Please select a valid conclusion" promptTitle="Conclusion" prompt="Select the assessment conclusion" type="list">
      <formula1>"Compliant,Partially Compliant,Non-Compliant,N/A"</formula1>
    </dataValidation>
  </dataValidations>
  <pageMargins left="0.75" right="0.75" top="1" bottom="1" header="0.5" footer="0.5"/>
</worksheet>
</file>

<file path=xl/worksheets/sheet7.xml><?xml version="1.0" encoding="utf-8"?>
<worksheet xmlns="http://schemas.openxmlformats.org/spreadsheetml/2006/main">
  <sheetPr>
    <tabColor rgb="00DAA520"/>
    <outlinePr summaryBelow="1" summaryRight="1"/>
    <pageSetUpPr/>
  </sheetPr>
  <dimension ref="A1:K59"/>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24" customWidth="1" min="3" max="3"/>
    <col width="12" customWidth="1" min="4" max="4"/>
    <col width="15" customWidth="1" min="5" max="5"/>
    <col width="12" customWidth="1" min="6" max="6"/>
    <col width="12" customWidth="1" min="7" max="7"/>
    <col width="15" customWidth="1" min="8" max="8"/>
    <col width="8" customWidth="1" min="9" max="9"/>
    <col width="10" customWidth="1" min="10" max="10"/>
    <col width="18" customWidth="1" min="11" max="11"/>
  </cols>
  <sheetData>
    <row r="1" ht="28" customHeight="1">
      <c r="A1" s="33" t="inlineStr">
        <is>
          <t>SECTION A — CONTROL-LEVEL SCORING</t>
        </is>
      </c>
    </row>
    <row r="2" ht="28" customHeight="1">
      <c r="A2" s="20" t="inlineStr">
        <is>
          <t>Ref</t>
        </is>
      </c>
      <c r="B2" s="20" t="inlineStr">
        <is>
          <t>Control</t>
        </is>
      </c>
      <c r="C2" s="20" t="inlineStr">
        <is>
          <t>Domain</t>
        </is>
      </c>
      <c r="D2" s="20" t="inlineStr">
        <is>
          <t>Risk Tier</t>
        </is>
      </c>
      <c r="E2" s="20" t="inlineStr">
        <is>
          <t>Sub-Procedures</t>
        </is>
      </c>
      <c r="F2" s="20" t="inlineStr">
        <is>
          <t>Compliant</t>
        </is>
      </c>
      <c r="G2" s="20" t="inlineStr">
        <is>
          <t>Partial</t>
        </is>
      </c>
      <c r="H2" s="20" t="inlineStr">
        <is>
          <t>Non-Compliant</t>
        </is>
      </c>
      <c r="I2" s="20" t="inlineStr">
        <is>
          <t>N/A</t>
        </is>
      </c>
      <c r="J2" s="20" t="inlineStr">
        <is>
          <t>Score</t>
        </is>
      </c>
      <c r="K2" s="20" t="inlineStr">
        <is>
          <t>Conclusion</t>
        </is>
      </c>
    </row>
    <row r="3" ht="22" customHeight="1">
      <c r="A3" s="24" t="inlineStr">
        <is>
          <t>GRA-1</t>
        </is>
      </c>
      <c r="B3" s="11" t="inlineStr">
        <is>
          <t>Technology Risk Governance Framework</t>
        </is>
      </c>
      <c r="C3" s="11" t="inlineStr">
        <is>
          <t>Governance &amp; Oversight</t>
        </is>
      </c>
      <c r="D3" s="34" t="inlineStr">
        <is>
          <t>Critical</t>
        </is>
      </c>
      <c r="E3" s="10" t="n">
        <v>6</v>
      </c>
      <c r="F3" s="10">
        <f>COUNTIF('Governance, Risk &amp; Audit'!K4:K9,"Compliant")</f>
        <v/>
      </c>
      <c r="G3" s="10">
        <f>COUNTIF('Governance, Risk &amp; Audit'!K4:K9,"Partially Compliant")</f>
        <v/>
      </c>
      <c r="H3" s="10">
        <f>COUNTIF('Governance, Risk &amp; Audit'!K4:K9,"Non-Compliant")</f>
        <v/>
      </c>
      <c r="I3" s="10">
        <f>COUNTIF('Governance, Risk &amp; Audit'!K4:K9,"N/A")</f>
        <v/>
      </c>
      <c r="J3" s="35">
        <f>IFERROR(AVERAGE('Governance, Risk &amp; Audit'!M4:M9),"")</f>
        <v/>
      </c>
      <c r="K3" s="10">
        <f>IF(J3="","",IF(J3&gt;=2.5,"Compliant",IF(J3&gt;=1.5,"Partially Compliant","Non-Compliant")))</f>
        <v/>
      </c>
    </row>
    <row r="4" ht="22" customHeight="1">
      <c r="A4" s="24" t="inlineStr">
        <is>
          <t>GRA-2</t>
        </is>
      </c>
      <c r="B4" s="11" t="inlineStr">
        <is>
          <t>CISO Designation &amp; Authority</t>
        </is>
      </c>
      <c r="C4" s="11" t="inlineStr">
        <is>
          <t>Governance &amp; Oversight</t>
        </is>
      </c>
      <c r="D4" s="36" t="inlineStr">
        <is>
          <t>Standard</t>
        </is>
      </c>
      <c r="E4" s="10" t="n">
        <v>5</v>
      </c>
      <c r="F4" s="10">
        <f>COUNTIF('Governance, Risk &amp; Audit'!K12:K16,"Compliant")</f>
        <v/>
      </c>
      <c r="G4" s="10">
        <f>COUNTIF('Governance, Risk &amp; Audit'!K12:K16,"Partially Compliant")</f>
        <v/>
      </c>
      <c r="H4" s="10">
        <f>COUNTIF('Governance, Risk &amp; Audit'!K12:K16,"Non-Compliant")</f>
        <v/>
      </c>
      <c r="I4" s="10">
        <f>COUNTIF('Governance, Risk &amp; Audit'!K12:K16,"N/A")</f>
        <v/>
      </c>
      <c r="J4" s="35">
        <f>IFERROR(AVERAGE('Governance, Risk &amp; Audit'!M12:M16),"")</f>
        <v/>
      </c>
      <c r="K4" s="10">
        <f>IF(J4="","",IF(J4&gt;=2.5,"Compliant",IF(J4&gt;=1.5,"Partially Compliant","Non-Compliant")))</f>
        <v/>
      </c>
    </row>
    <row r="5" ht="22" customHeight="1">
      <c r="A5" s="24" t="inlineStr">
        <is>
          <t>GRA-3</t>
        </is>
      </c>
      <c r="B5" s="11" t="inlineStr">
        <is>
          <t>Technology Risk Policy Suite</t>
        </is>
      </c>
      <c r="C5" s="11" t="inlineStr">
        <is>
          <t>Governance &amp; Oversight</t>
        </is>
      </c>
      <c r="D5" s="36" t="inlineStr">
        <is>
          <t>Standard</t>
        </is>
      </c>
      <c r="E5" s="10" t="n">
        <v>8</v>
      </c>
      <c r="F5" s="10">
        <f>COUNTIF('Governance, Risk &amp; Audit'!K19:K26,"Compliant")</f>
        <v/>
      </c>
      <c r="G5" s="10">
        <f>COUNTIF('Governance, Risk &amp; Audit'!K19:K26,"Partially Compliant")</f>
        <v/>
      </c>
      <c r="H5" s="10">
        <f>COUNTIF('Governance, Risk &amp; Audit'!K19:K26,"Non-Compliant")</f>
        <v/>
      </c>
      <c r="I5" s="10">
        <f>COUNTIF('Governance, Risk &amp; Audit'!K19:K26,"N/A")</f>
        <v/>
      </c>
      <c r="J5" s="35">
        <f>IFERROR(AVERAGE('Governance, Risk &amp; Audit'!M19:M26),"")</f>
        <v/>
      </c>
      <c r="K5" s="10">
        <f>IF(J5="","",IF(J5&gt;=2.5,"Compliant",IF(J5&gt;=1.5,"Partially Compliant","Non-Compliant")))</f>
        <v/>
      </c>
    </row>
    <row r="6" ht="22" customHeight="1">
      <c r="A6" s="24" t="inlineStr">
        <is>
          <t>GRA-4</t>
        </is>
      </c>
      <c r="B6" s="11" t="inlineStr">
        <is>
          <t>Technology Risk Reporting</t>
        </is>
      </c>
      <c r="C6" s="11" t="inlineStr">
        <is>
          <t>Governance &amp; Oversight</t>
        </is>
      </c>
      <c r="D6" s="36" t="inlineStr">
        <is>
          <t>Standard</t>
        </is>
      </c>
      <c r="E6" s="10" t="n">
        <v>5</v>
      </c>
      <c r="F6" s="10">
        <f>COUNTIF('Governance, Risk &amp; Audit'!K29:K33,"Compliant")</f>
        <v/>
      </c>
      <c r="G6" s="10">
        <f>COUNTIF('Governance, Risk &amp; Audit'!K29:K33,"Partially Compliant")</f>
        <v/>
      </c>
      <c r="H6" s="10">
        <f>COUNTIF('Governance, Risk &amp; Audit'!K29:K33,"Non-Compliant")</f>
        <v/>
      </c>
      <c r="I6" s="10">
        <f>COUNTIF('Governance, Risk &amp; Audit'!K29:K33,"N/A")</f>
        <v/>
      </c>
      <c r="J6" s="35">
        <f>IFERROR(AVERAGE('Governance, Risk &amp; Audit'!M29:M33),"")</f>
        <v/>
      </c>
      <c r="K6" s="10">
        <f>IF(J6="","",IF(J6&gt;=2.5,"Compliant",IF(J6&gt;=1.5,"Partially Compliant","Non-Compliant")))</f>
        <v/>
      </c>
    </row>
    <row r="7" ht="22" customHeight="1">
      <c r="A7" s="24" t="inlineStr">
        <is>
          <t>GRA-5</t>
        </is>
      </c>
      <c r="B7" s="11" t="inlineStr">
        <is>
          <t>Technology Risk Assessment Framework</t>
        </is>
      </c>
      <c r="C7" s="11" t="inlineStr">
        <is>
          <t>Technology Risk Assessment</t>
        </is>
      </c>
      <c r="D7" s="36" t="inlineStr">
        <is>
          <t>Standard</t>
        </is>
      </c>
      <c r="E7" s="10" t="n">
        <v>5</v>
      </c>
      <c r="F7" s="10">
        <f>COUNTIF('Governance, Risk &amp; Audit'!K36:K40,"Compliant")</f>
        <v/>
      </c>
      <c r="G7" s="10">
        <f>COUNTIF('Governance, Risk &amp; Audit'!K36:K40,"Partially Compliant")</f>
        <v/>
      </c>
      <c r="H7" s="10">
        <f>COUNTIF('Governance, Risk &amp; Audit'!K36:K40,"Non-Compliant")</f>
        <v/>
      </c>
      <c r="I7" s="10">
        <f>COUNTIF('Governance, Risk &amp; Audit'!K36:K40,"N/A")</f>
        <v/>
      </c>
      <c r="J7" s="35">
        <f>IFERROR(AVERAGE('Governance, Risk &amp; Audit'!M36:M40),"")</f>
        <v/>
      </c>
      <c r="K7" s="10">
        <f>IF(J7="","",IF(J7&gt;=2.5,"Compliant",IF(J7&gt;=1.5,"Partially Compliant","Non-Compliant")))</f>
        <v/>
      </c>
    </row>
    <row r="8" ht="22" customHeight="1">
      <c r="A8" s="24" t="inlineStr">
        <is>
          <t>GRA-6</t>
        </is>
      </c>
      <c r="B8" s="11" t="inlineStr">
        <is>
          <t>Algorithmic Trading Risk Controls</t>
        </is>
      </c>
      <c r="C8" s="11" t="inlineStr">
        <is>
          <t>Technology Risk Assessment</t>
        </is>
      </c>
      <c r="D8" s="36" t="inlineStr">
        <is>
          <t>Standard</t>
        </is>
      </c>
      <c r="E8" s="10" t="n">
        <v>6</v>
      </c>
      <c r="F8" s="10">
        <f>COUNTIF('Governance, Risk &amp; Audit'!K43:K48,"Compliant")</f>
        <v/>
      </c>
      <c r="G8" s="10">
        <f>COUNTIF('Governance, Risk &amp; Audit'!K43:K48,"Partially Compliant")</f>
        <v/>
      </c>
      <c r="H8" s="10">
        <f>COUNTIF('Governance, Risk &amp; Audit'!K43:K48,"Non-Compliant")</f>
        <v/>
      </c>
      <c r="I8" s="10">
        <f>COUNTIF('Governance, Risk &amp; Audit'!K43:K48,"N/A")</f>
        <v/>
      </c>
      <c r="J8" s="35">
        <f>IFERROR(AVERAGE('Governance, Risk &amp; Audit'!M43:M48),"")</f>
        <v/>
      </c>
      <c r="K8" s="10">
        <f>IF(J8="","",IF(J8&gt;=2.5,"Compliant",IF(J8&gt;=1.5,"Partially Compliant","Non-Compliant")))</f>
        <v/>
      </c>
    </row>
    <row r="9" ht="22" customHeight="1">
      <c r="A9" s="24" t="inlineStr">
        <is>
          <t>GRA-7</t>
        </is>
      </c>
      <c r="B9" s="11" t="inlineStr">
        <is>
          <t>Technology Change Risk Assessment</t>
        </is>
      </c>
      <c r="C9" s="11" t="inlineStr">
        <is>
          <t>Technology Risk Assessment</t>
        </is>
      </c>
      <c r="D9" s="36" t="inlineStr">
        <is>
          <t>Standard</t>
        </is>
      </c>
      <c r="E9" s="10" t="n">
        <v>5</v>
      </c>
      <c r="F9" s="10">
        <f>COUNTIF('Governance, Risk &amp; Audit'!K51:K55,"Compliant")</f>
        <v/>
      </c>
      <c r="G9" s="10">
        <f>COUNTIF('Governance, Risk &amp; Audit'!K51:K55,"Partially Compliant")</f>
        <v/>
      </c>
      <c r="H9" s="10">
        <f>COUNTIF('Governance, Risk &amp; Audit'!K51:K55,"Non-Compliant")</f>
        <v/>
      </c>
      <c r="I9" s="10">
        <f>COUNTIF('Governance, Risk &amp; Audit'!K51:K55,"N/A")</f>
        <v/>
      </c>
      <c r="J9" s="35">
        <f>IFERROR(AVERAGE('Governance, Risk &amp; Audit'!M51:M55),"")</f>
        <v/>
      </c>
      <c r="K9" s="10">
        <f>IF(J9="","",IF(J9&gt;=2.5,"Compliant",IF(J9&gt;=1.5,"Partially Compliant","Non-Compliant")))</f>
        <v/>
      </c>
    </row>
    <row r="10" ht="22" customHeight="1">
      <c r="A10" s="24" t="inlineStr">
        <is>
          <t>GRA-8</t>
        </is>
      </c>
      <c r="B10" s="11" t="inlineStr">
        <is>
          <t>Technology Audit Programme</t>
        </is>
      </c>
      <c r="C10" s="11" t="inlineStr">
        <is>
          <t>Technology Audit</t>
        </is>
      </c>
      <c r="D10" s="36" t="inlineStr">
        <is>
          <t>Standard</t>
        </is>
      </c>
      <c r="E10" s="10" t="n">
        <v>5</v>
      </c>
      <c r="F10" s="10">
        <f>COUNTIF('Governance, Risk &amp; Audit'!K58:K62,"Compliant")</f>
        <v/>
      </c>
      <c r="G10" s="10">
        <f>COUNTIF('Governance, Risk &amp; Audit'!K58:K62,"Partially Compliant")</f>
        <v/>
      </c>
      <c r="H10" s="10">
        <f>COUNTIF('Governance, Risk &amp; Audit'!K58:K62,"Non-Compliant")</f>
        <v/>
      </c>
      <c r="I10" s="10">
        <f>COUNTIF('Governance, Risk &amp; Audit'!K58:K62,"N/A")</f>
        <v/>
      </c>
      <c r="J10" s="35">
        <f>IFERROR(AVERAGE('Governance, Risk &amp; Audit'!M58:M62),"")</f>
        <v/>
      </c>
      <c r="K10" s="10">
        <f>IF(J10="","",IF(J10&gt;=2.5,"Compliant",IF(J10&gt;=1.5,"Partially Compliant","Non-Compliant")))</f>
        <v/>
      </c>
    </row>
    <row r="11" ht="22" customHeight="1">
      <c r="A11" s="24" t="inlineStr">
        <is>
          <t>GRA-9</t>
        </is>
      </c>
      <c r="B11" s="11" t="inlineStr">
        <is>
          <t>Regulatory Examination Readiness</t>
        </is>
      </c>
      <c r="C11" s="11" t="inlineStr">
        <is>
          <t>Technology Audit</t>
        </is>
      </c>
      <c r="D11" s="36" t="inlineStr">
        <is>
          <t>Standard</t>
        </is>
      </c>
      <c r="E11" s="10" t="n">
        <v>5</v>
      </c>
      <c r="F11" s="10">
        <f>COUNTIF('Governance, Risk &amp; Audit'!K65:K69,"Compliant")</f>
        <v/>
      </c>
      <c r="G11" s="10">
        <f>COUNTIF('Governance, Risk &amp; Audit'!K65:K69,"Partially Compliant")</f>
        <v/>
      </c>
      <c r="H11" s="10">
        <f>COUNTIF('Governance, Risk &amp; Audit'!K65:K69,"Non-Compliant")</f>
        <v/>
      </c>
      <c r="I11" s="10">
        <f>COUNTIF('Governance, Risk &amp; Audit'!K65:K69,"N/A")</f>
        <v/>
      </c>
      <c r="J11" s="35">
        <f>IFERROR(AVERAGE('Governance, Risk &amp; Audit'!M65:M69),"")</f>
        <v/>
      </c>
      <c r="K11" s="10">
        <f>IF(J11="","",IF(J11&gt;=2.5,"Compliant",IF(J11&gt;=1.5,"Partially Compliant","Non-Compliant")))</f>
        <v/>
      </c>
    </row>
    <row r="12" ht="22" customHeight="1">
      <c r="A12" s="24" t="inlineStr">
        <is>
          <t>GRA-10</t>
        </is>
      </c>
      <c r="B12" s="11" t="inlineStr">
        <is>
          <t>Penetration Testing Programme</t>
        </is>
      </c>
      <c r="C12" s="11" t="inlineStr">
        <is>
          <t>Technology Audit</t>
        </is>
      </c>
      <c r="D12" s="36" t="inlineStr">
        <is>
          <t>Standard</t>
        </is>
      </c>
      <c r="E12" s="10" t="n">
        <v>4</v>
      </c>
      <c r="F12" s="10">
        <f>COUNTIF('Governance, Risk &amp; Audit'!K72:K75,"Compliant")</f>
        <v/>
      </c>
      <c r="G12" s="10">
        <f>COUNTIF('Governance, Risk &amp; Audit'!K72:K75,"Partially Compliant")</f>
        <v/>
      </c>
      <c r="H12" s="10">
        <f>COUNTIF('Governance, Risk &amp; Audit'!K72:K75,"Non-Compliant")</f>
        <v/>
      </c>
      <c r="I12" s="10">
        <f>COUNTIF('Governance, Risk &amp; Audit'!K72:K75,"N/A")</f>
        <v/>
      </c>
      <c r="J12" s="35">
        <f>IFERROR(AVERAGE('Governance, Risk &amp; Audit'!M72:M75),"")</f>
        <v/>
      </c>
      <c r="K12" s="10">
        <f>IF(J12="","",IF(J12&gt;=2.5,"Compliant",IF(J12&gt;=1.5,"Partially Compliant","Non-Compliant")))</f>
        <v/>
      </c>
    </row>
    <row r="13" ht="22" customHeight="1">
      <c r="A13" s="24" t="inlineStr">
        <is>
          <t>CYB-1</t>
        </is>
      </c>
      <c r="B13" s="11" t="inlineStr">
        <is>
          <t>Cyber Threat Management</t>
        </is>
      </c>
      <c r="C13" s="11" t="inlineStr">
        <is>
          <t>Cybersecurity</t>
        </is>
      </c>
      <c r="D13" s="36" t="inlineStr">
        <is>
          <t>Standard</t>
        </is>
      </c>
      <c r="E13" s="10" t="n">
        <v>6</v>
      </c>
      <c r="F13" s="10">
        <f>COUNTIF('Cybersecurity'!K4:K9,"Compliant")</f>
        <v/>
      </c>
      <c r="G13" s="10">
        <f>COUNTIF('Cybersecurity'!K4:K9,"Partially Compliant")</f>
        <v/>
      </c>
      <c r="H13" s="10">
        <f>COUNTIF('Cybersecurity'!K4:K9,"Non-Compliant")</f>
        <v/>
      </c>
      <c r="I13" s="10">
        <f>COUNTIF('Cybersecurity'!K4:K9,"N/A")</f>
        <v/>
      </c>
      <c r="J13" s="35">
        <f>IFERROR(AVERAGE('Cybersecurity'!M4:M9),"")</f>
        <v/>
      </c>
      <c r="K13" s="10">
        <f>IF(J13="","",IF(J13&gt;=2.5,"Compliant",IF(J13&gt;=1.5,"Partially Compliant","Non-Compliant")))</f>
        <v/>
      </c>
    </row>
    <row r="14" ht="22" customHeight="1">
      <c r="A14" s="24" t="inlineStr">
        <is>
          <t>CYB-2</t>
        </is>
      </c>
      <c r="B14" s="11" t="inlineStr">
        <is>
          <t>Security Operations Centre</t>
        </is>
      </c>
      <c r="C14" s="11" t="inlineStr">
        <is>
          <t>Cybersecurity</t>
        </is>
      </c>
      <c r="D14" s="34" t="inlineStr">
        <is>
          <t>Critical</t>
        </is>
      </c>
      <c r="E14" s="10" t="n">
        <v>8</v>
      </c>
      <c r="F14" s="10">
        <f>COUNTIF('Cybersecurity'!K12:K19,"Compliant")</f>
        <v/>
      </c>
      <c r="G14" s="10">
        <f>COUNTIF('Cybersecurity'!K12:K19,"Partially Compliant")</f>
        <v/>
      </c>
      <c r="H14" s="10">
        <f>COUNTIF('Cybersecurity'!K12:K19,"Non-Compliant")</f>
        <v/>
      </c>
      <c r="I14" s="10">
        <f>COUNTIF('Cybersecurity'!K12:K19,"N/A")</f>
        <v/>
      </c>
      <c r="J14" s="35">
        <f>IFERROR(AVERAGE('Cybersecurity'!M12:M19),"")</f>
        <v/>
      </c>
      <c r="K14" s="10">
        <f>IF(J14="","",IF(J14&gt;=2.5,"Compliant",IF(J14&gt;=1.5,"Partially Compliant","Non-Compliant")))</f>
        <v/>
      </c>
    </row>
    <row r="15" ht="22" customHeight="1">
      <c r="A15" s="24" t="inlineStr">
        <is>
          <t>CYB-3</t>
        </is>
      </c>
      <c r="B15" s="11" t="inlineStr">
        <is>
          <t>Vulnerability Management Programme</t>
        </is>
      </c>
      <c r="C15" s="11" t="inlineStr">
        <is>
          <t>Cybersecurity</t>
        </is>
      </c>
      <c r="D15" s="36" t="inlineStr">
        <is>
          <t>Standard</t>
        </is>
      </c>
      <c r="E15" s="10" t="n">
        <v>7</v>
      </c>
      <c r="F15" s="10">
        <f>COUNTIF('Cybersecurity'!K22:K28,"Compliant")</f>
        <v/>
      </c>
      <c r="G15" s="10">
        <f>COUNTIF('Cybersecurity'!K22:K28,"Partially Compliant")</f>
        <v/>
      </c>
      <c r="H15" s="10">
        <f>COUNTIF('Cybersecurity'!K22:K28,"Non-Compliant")</f>
        <v/>
      </c>
      <c r="I15" s="10">
        <f>COUNTIF('Cybersecurity'!K22:K28,"N/A")</f>
        <v/>
      </c>
      <c r="J15" s="35">
        <f>IFERROR(AVERAGE('Cybersecurity'!M22:M28),"")</f>
        <v/>
      </c>
      <c r="K15" s="10">
        <f>IF(J15="","",IF(J15&gt;=2.5,"Compliant",IF(J15&gt;=1.5,"Partially Compliant","Non-Compliant")))</f>
        <v/>
      </c>
    </row>
    <row r="16" ht="22" customHeight="1">
      <c r="A16" s="24" t="inlineStr">
        <is>
          <t>CYB-4</t>
        </is>
      </c>
      <c r="B16" s="11" t="inlineStr">
        <is>
          <t>Network Security Architecture</t>
        </is>
      </c>
      <c r="C16" s="11" t="inlineStr">
        <is>
          <t>Cybersecurity</t>
        </is>
      </c>
      <c r="D16" s="36" t="inlineStr">
        <is>
          <t>Standard</t>
        </is>
      </c>
      <c r="E16" s="10" t="n">
        <v>6</v>
      </c>
      <c r="F16" s="10">
        <f>COUNTIF('Cybersecurity'!K31:K36,"Compliant")</f>
        <v/>
      </c>
      <c r="G16" s="10">
        <f>COUNTIF('Cybersecurity'!K31:K36,"Partially Compliant")</f>
        <v/>
      </c>
      <c r="H16" s="10">
        <f>COUNTIF('Cybersecurity'!K31:K36,"Non-Compliant")</f>
        <v/>
      </c>
      <c r="I16" s="10">
        <f>COUNTIF('Cybersecurity'!K31:K36,"N/A")</f>
        <v/>
      </c>
      <c r="J16" s="35">
        <f>IFERROR(AVERAGE('Cybersecurity'!M31:M36),"")</f>
        <v/>
      </c>
      <c r="K16" s="10">
        <f>IF(J16="","",IF(J16&gt;=2.5,"Compliant",IF(J16&gt;=1.5,"Partially Compliant","Non-Compliant")))</f>
        <v/>
      </c>
    </row>
    <row r="17" ht="22" customHeight="1">
      <c r="A17" s="24" t="inlineStr">
        <is>
          <t>RIM-1</t>
        </is>
      </c>
      <c r="B17" s="11" t="inlineStr">
        <is>
          <t>BCM Programme for Market Operations</t>
        </is>
      </c>
      <c r="C17" s="11" t="inlineStr">
        <is>
          <t>Business Continuity</t>
        </is>
      </c>
      <c r="D17" s="34" t="inlineStr">
        <is>
          <t>Critical</t>
        </is>
      </c>
      <c r="E17" s="10" t="n">
        <v>5</v>
      </c>
      <c r="F17" s="10">
        <f>COUNTIF('Resilience &amp; Incident Managemen'!K4:K8,"Compliant")</f>
        <v/>
      </c>
      <c r="G17" s="10">
        <f>COUNTIF('Resilience &amp; Incident Managemen'!K4:K8,"Partially Compliant")</f>
        <v/>
      </c>
      <c r="H17" s="10">
        <f>COUNTIF('Resilience &amp; Incident Managemen'!K4:K8,"Non-Compliant")</f>
        <v/>
      </c>
      <c r="I17" s="10">
        <f>COUNTIF('Resilience &amp; Incident Managemen'!K4:K8,"N/A")</f>
        <v/>
      </c>
      <c r="J17" s="35">
        <f>IFERROR(AVERAGE('Resilience &amp; Incident Managemen'!M4:M8),"")</f>
        <v/>
      </c>
      <c r="K17" s="10">
        <f>IF(J17="","",IF(J17&gt;=2.5,"Compliant",IF(J17&gt;=1.5,"Partially Compliant","Non-Compliant")))</f>
        <v/>
      </c>
    </row>
    <row r="18" ht="22" customHeight="1">
      <c r="A18" s="24" t="inlineStr">
        <is>
          <t>RIM-2</t>
        </is>
      </c>
      <c r="B18" s="11" t="inlineStr">
        <is>
          <t>Trading System Resilience</t>
        </is>
      </c>
      <c r="C18" s="11" t="inlineStr">
        <is>
          <t>Business Continuity</t>
        </is>
      </c>
      <c r="D18" s="34" t="inlineStr">
        <is>
          <t>Critical</t>
        </is>
      </c>
      <c r="E18" s="10" t="n">
        <v>5</v>
      </c>
      <c r="F18" s="10">
        <f>COUNTIF('Resilience &amp; Incident Managemen'!K11:K15,"Compliant")</f>
        <v/>
      </c>
      <c r="G18" s="10">
        <f>COUNTIF('Resilience &amp; Incident Managemen'!K11:K15,"Partially Compliant")</f>
        <v/>
      </c>
      <c r="H18" s="10">
        <f>COUNTIF('Resilience &amp; Incident Managemen'!K11:K15,"Non-Compliant")</f>
        <v/>
      </c>
      <c r="I18" s="10">
        <f>COUNTIF('Resilience &amp; Incident Managemen'!K11:K15,"N/A")</f>
        <v/>
      </c>
      <c r="J18" s="35">
        <f>IFERROR(AVERAGE('Resilience &amp; Incident Managemen'!M11:M15),"")</f>
        <v/>
      </c>
      <c r="K18" s="10">
        <f>IF(J18="","",IF(J18&gt;=2.5,"Compliant",IF(J18&gt;=1.5,"Partially Compliant","Non-Compliant")))</f>
        <v/>
      </c>
    </row>
    <row r="19" ht="22" customHeight="1">
      <c r="A19" s="24" t="inlineStr">
        <is>
          <t>RIM-3</t>
        </is>
      </c>
      <c r="B19" s="11" t="inlineStr">
        <is>
          <t>DR Testing Programme</t>
        </is>
      </c>
      <c r="C19" s="11" t="inlineStr">
        <is>
          <t>Business Continuity</t>
        </is>
      </c>
      <c r="D19" s="36" t="inlineStr">
        <is>
          <t>Standard</t>
        </is>
      </c>
      <c r="E19" s="10" t="n">
        <v>4</v>
      </c>
      <c r="F19" s="10">
        <f>COUNTIF('Resilience &amp; Incident Managemen'!K18:K21,"Compliant")</f>
        <v/>
      </c>
      <c r="G19" s="10">
        <f>COUNTIF('Resilience &amp; Incident Managemen'!K18:K21,"Partially Compliant")</f>
        <v/>
      </c>
      <c r="H19" s="10">
        <f>COUNTIF('Resilience &amp; Incident Managemen'!K18:K21,"Non-Compliant")</f>
        <v/>
      </c>
      <c r="I19" s="10">
        <f>COUNTIF('Resilience &amp; Incident Managemen'!K18:K21,"N/A")</f>
        <v/>
      </c>
      <c r="J19" s="35">
        <f>IFERROR(AVERAGE('Resilience &amp; Incident Managemen'!M18:M21),"")</f>
        <v/>
      </c>
      <c r="K19" s="10">
        <f>IF(J19="","",IF(J19&gt;=2.5,"Compliant",IF(J19&gt;=1.5,"Partially Compliant","Non-Compliant")))</f>
        <v/>
      </c>
    </row>
    <row r="20" ht="22" customHeight="1">
      <c r="A20" s="24" t="inlineStr">
        <is>
          <t>RIM-4</t>
        </is>
      </c>
      <c r="B20" s="11" t="inlineStr">
        <is>
          <t>Settlement Continuity</t>
        </is>
      </c>
      <c r="C20" s="11" t="inlineStr">
        <is>
          <t>Business Continuity</t>
        </is>
      </c>
      <c r="D20" s="36" t="inlineStr">
        <is>
          <t>Standard</t>
        </is>
      </c>
      <c r="E20" s="10" t="n">
        <v>5</v>
      </c>
      <c r="F20" s="10">
        <f>COUNTIF('Resilience &amp; Incident Managemen'!K24:K28,"Compliant")</f>
        <v/>
      </c>
      <c r="G20" s="10">
        <f>COUNTIF('Resilience &amp; Incident Managemen'!K24:K28,"Partially Compliant")</f>
        <v/>
      </c>
      <c r="H20" s="10">
        <f>COUNTIF('Resilience &amp; Incident Managemen'!K24:K28,"Non-Compliant")</f>
        <v/>
      </c>
      <c r="I20" s="10">
        <f>COUNTIF('Resilience &amp; Incident Managemen'!K24:K28,"N/A")</f>
        <v/>
      </c>
      <c r="J20" s="35">
        <f>IFERROR(AVERAGE('Resilience &amp; Incident Managemen'!M24:M28),"")</f>
        <v/>
      </c>
      <c r="K20" s="10">
        <f>IF(J20="","",IF(J20&gt;=2.5,"Compliant",IF(J20&gt;=1.5,"Partially Compliant","Non-Compliant")))</f>
        <v/>
      </c>
    </row>
    <row r="21" ht="22" customHeight="1">
      <c r="A21" s="24" t="inlineStr">
        <is>
          <t>RIM-5</t>
        </is>
      </c>
      <c r="B21" s="11" t="inlineStr">
        <is>
          <t>Incident Response Plan</t>
        </is>
      </c>
      <c r="C21" s="11" t="inlineStr">
        <is>
          <t>Incident Management</t>
        </is>
      </c>
      <c r="D21" s="34" t="inlineStr">
        <is>
          <t>Critical</t>
        </is>
      </c>
      <c r="E21" s="10" t="n">
        <v>6</v>
      </c>
      <c r="F21" s="10">
        <f>COUNTIF('Resilience &amp; Incident Managemen'!K31:K36,"Compliant")</f>
        <v/>
      </c>
      <c r="G21" s="10">
        <f>COUNTIF('Resilience &amp; Incident Managemen'!K31:K36,"Partially Compliant")</f>
        <v/>
      </c>
      <c r="H21" s="10">
        <f>COUNTIF('Resilience &amp; Incident Managemen'!K31:K36,"Non-Compliant")</f>
        <v/>
      </c>
      <c r="I21" s="10">
        <f>COUNTIF('Resilience &amp; Incident Managemen'!K31:K36,"N/A")</f>
        <v/>
      </c>
      <c r="J21" s="35">
        <f>IFERROR(AVERAGE('Resilience &amp; Incident Managemen'!M31:M36),"")</f>
        <v/>
      </c>
      <c r="K21" s="10">
        <f>IF(J21="","",IF(J21&gt;=2.5,"Compliant",IF(J21&gt;=1.5,"Partially Compliant","Non-Compliant")))</f>
        <v/>
      </c>
    </row>
    <row r="22" ht="22" customHeight="1">
      <c r="A22" s="24" t="inlineStr">
        <is>
          <t>RIM-6</t>
        </is>
      </c>
      <c r="B22" s="11" t="inlineStr">
        <is>
          <t>SC Incident Notification</t>
        </is>
      </c>
      <c r="C22" s="11" t="inlineStr">
        <is>
          <t>Incident Management</t>
        </is>
      </c>
      <c r="D22" s="34" t="inlineStr">
        <is>
          <t>Critical</t>
        </is>
      </c>
      <c r="E22" s="10" t="n">
        <v>5</v>
      </c>
      <c r="F22" s="10">
        <f>COUNTIF('Resilience &amp; Incident Managemen'!K39:K43,"Compliant")</f>
        <v/>
      </c>
      <c r="G22" s="10">
        <f>COUNTIF('Resilience &amp; Incident Managemen'!K39:K43,"Partially Compliant")</f>
        <v/>
      </c>
      <c r="H22" s="10">
        <f>COUNTIF('Resilience &amp; Incident Managemen'!K39:K43,"Non-Compliant")</f>
        <v/>
      </c>
      <c r="I22" s="10">
        <f>COUNTIF('Resilience &amp; Incident Managemen'!K39:K43,"N/A")</f>
        <v/>
      </c>
      <c r="J22" s="35">
        <f>IFERROR(AVERAGE('Resilience &amp; Incident Managemen'!M39:M43),"")</f>
        <v/>
      </c>
      <c r="K22" s="10">
        <f>IF(J22="","",IF(J22&gt;=2.5,"Compliant",IF(J22&gt;=1.5,"Partially Compliant","Non-Compliant")))</f>
        <v/>
      </c>
    </row>
    <row r="23" ht="22" customHeight="1">
      <c r="A23" s="24" t="inlineStr">
        <is>
          <t>RIM-7</t>
        </is>
      </c>
      <c r="B23" s="11" t="inlineStr">
        <is>
          <t>Cyber Incident Coordination</t>
        </is>
      </c>
      <c r="C23" s="11" t="inlineStr">
        <is>
          <t>Incident Management</t>
        </is>
      </c>
      <c r="D23" s="36" t="inlineStr">
        <is>
          <t>Standard</t>
        </is>
      </c>
      <c r="E23" s="10" t="n">
        <v>4</v>
      </c>
      <c r="F23" s="10">
        <f>COUNTIF('Resilience &amp; Incident Managemen'!K46:K49,"Compliant")</f>
        <v/>
      </c>
      <c r="G23" s="10">
        <f>COUNTIF('Resilience &amp; Incident Managemen'!K46:K49,"Partially Compliant")</f>
        <v/>
      </c>
      <c r="H23" s="10">
        <f>COUNTIF('Resilience &amp; Incident Managemen'!K46:K49,"Non-Compliant")</f>
        <v/>
      </c>
      <c r="I23" s="10">
        <f>COUNTIF('Resilience &amp; Incident Managemen'!K46:K49,"N/A")</f>
        <v/>
      </c>
      <c r="J23" s="35">
        <f>IFERROR(AVERAGE('Resilience &amp; Incident Managemen'!M46:M49),"")</f>
        <v/>
      </c>
      <c r="K23" s="10">
        <f>IF(J23="","",IF(J23&gt;=2.5,"Compliant",IF(J23&gt;=1.5,"Partially Compliant","Non-Compliant")))</f>
        <v/>
      </c>
    </row>
    <row r="24" ht="22" customHeight="1">
      <c r="A24" s="24" t="inlineStr">
        <is>
          <t>RIM-8</t>
        </is>
      </c>
      <c r="B24" s="11" t="inlineStr">
        <is>
          <t>Incident Post-Mortem &amp; Lessons Learned</t>
        </is>
      </c>
      <c r="C24" s="11" t="inlineStr">
        <is>
          <t>Incident Management</t>
        </is>
      </c>
      <c r="D24" s="36" t="inlineStr">
        <is>
          <t>Standard</t>
        </is>
      </c>
      <c r="E24" s="10" t="n">
        <v>4</v>
      </c>
      <c r="F24" s="10">
        <f>COUNTIF('Resilience &amp; Incident Managemen'!K52:K55,"Compliant")</f>
        <v/>
      </c>
      <c r="G24" s="10">
        <f>COUNTIF('Resilience &amp; Incident Managemen'!K52:K55,"Partially Compliant")</f>
        <v/>
      </c>
      <c r="H24" s="10">
        <f>COUNTIF('Resilience &amp; Incident Managemen'!K52:K55,"Non-Compliant")</f>
        <v/>
      </c>
      <c r="I24" s="10">
        <f>COUNTIF('Resilience &amp; Incident Managemen'!K52:K55,"N/A")</f>
        <v/>
      </c>
      <c r="J24" s="35">
        <f>IFERROR(AVERAGE('Resilience &amp; Incident Managemen'!M52:M55),"")</f>
        <v/>
      </c>
      <c r="K24" s="10">
        <f>IF(J24="","",IF(J24&gt;=2.5,"Compliant",IF(J24&gt;=1.5,"Partially Compliant","Non-Compliant")))</f>
        <v/>
      </c>
    </row>
    <row r="25" ht="22" customHeight="1">
      <c r="A25" s="24" t="inlineStr">
        <is>
          <t>TPC-1</t>
        </is>
      </c>
      <c r="B25" s="11" t="inlineStr">
        <is>
          <t>Third-Party Risk Assessment</t>
        </is>
      </c>
      <c r="C25" s="11" t="inlineStr">
        <is>
          <t>Third-Party Risk</t>
        </is>
      </c>
      <c r="D25" s="36" t="inlineStr">
        <is>
          <t>Standard</t>
        </is>
      </c>
      <c r="E25" s="10" t="n">
        <v>5</v>
      </c>
      <c r="F25" s="10">
        <f>COUNTIF('Third-Party &amp; Cloud'!K4:K8,"Compliant")</f>
        <v/>
      </c>
      <c r="G25" s="10">
        <f>COUNTIF('Third-Party &amp; Cloud'!K4:K8,"Partially Compliant")</f>
        <v/>
      </c>
      <c r="H25" s="10">
        <f>COUNTIF('Third-Party &amp; Cloud'!K4:K8,"Non-Compliant")</f>
        <v/>
      </c>
      <c r="I25" s="10">
        <f>COUNTIF('Third-Party &amp; Cloud'!K4:K8,"N/A")</f>
        <v/>
      </c>
      <c r="J25" s="35">
        <f>IFERROR(AVERAGE('Third-Party &amp; Cloud'!M4:M8),"")</f>
        <v/>
      </c>
      <c r="K25" s="10">
        <f>IF(J25="","",IF(J25&gt;=2.5,"Compliant",IF(J25&gt;=1.5,"Partially Compliant","Non-Compliant")))</f>
        <v/>
      </c>
    </row>
    <row r="26" ht="22" customHeight="1">
      <c r="A26" s="24" t="inlineStr">
        <is>
          <t>TPC-2</t>
        </is>
      </c>
      <c r="B26" s="11" t="inlineStr">
        <is>
          <t>Outsourcing Governance</t>
        </is>
      </c>
      <c r="C26" s="11" t="inlineStr">
        <is>
          <t>Third-Party Risk</t>
        </is>
      </c>
      <c r="D26" s="36" t="inlineStr">
        <is>
          <t>Standard</t>
        </is>
      </c>
      <c r="E26" s="10" t="n">
        <v>5</v>
      </c>
      <c r="F26" s="10">
        <f>COUNTIF('Third-Party &amp; Cloud'!K11:K15,"Compliant")</f>
        <v/>
      </c>
      <c r="G26" s="10">
        <f>COUNTIF('Third-Party &amp; Cloud'!K11:K15,"Partially Compliant")</f>
        <v/>
      </c>
      <c r="H26" s="10">
        <f>COUNTIF('Third-Party &amp; Cloud'!K11:K15,"Non-Compliant")</f>
        <v/>
      </c>
      <c r="I26" s="10">
        <f>COUNTIF('Third-Party &amp; Cloud'!K11:K15,"N/A")</f>
        <v/>
      </c>
      <c r="J26" s="35">
        <f>IFERROR(AVERAGE('Third-Party &amp; Cloud'!M11:M15),"")</f>
        <v/>
      </c>
      <c r="K26" s="10">
        <f>IF(J26="","",IF(J26&gt;=2.5,"Compliant",IF(J26&gt;=1.5,"Partially Compliant","Non-Compliant")))</f>
        <v/>
      </c>
    </row>
    <row r="27" ht="22" customHeight="1">
      <c r="A27" s="24" t="inlineStr">
        <is>
          <t>TPC-3</t>
        </is>
      </c>
      <c r="B27" s="11" t="inlineStr">
        <is>
          <t>Vendor Performance Monitoring</t>
        </is>
      </c>
      <c r="C27" s="11" t="inlineStr">
        <is>
          <t>Third-Party Risk</t>
        </is>
      </c>
      <c r="D27" s="36" t="inlineStr">
        <is>
          <t>Standard</t>
        </is>
      </c>
      <c r="E27" s="10" t="n">
        <v>4</v>
      </c>
      <c r="F27" s="10">
        <f>COUNTIF('Third-Party &amp; Cloud'!K18:K21,"Compliant")</f>
        <v/>
      </c>
      <c r="G27" s="10">
        <f>COUNTIF('Third-Party &amp; Cloud'!K18:K21,"Partially Compliant")</f>
        <v/>
      </c>
      <c r="H27" s="10">
        <f>COUNTIF('Third-Party &amp; Cloud'!K18:K21,"Non-Compliant")</f>
        <v/>
      </c>
      <c r="I27" s="10">
        <f>COUNTIF('Third-Party &amp; Cloud'!K18:K21,"N/A")</f>
        <v/>
      </c>
      <c r="J27" s="35">
        <f>IFERROR(AVERAGE('Third-Party &amp; Cloud'!M18:M21),"")</f>
        <v/>
      </c>
      <c r="K27" s="10">
        <f>IF(J27="","",IF(J27&gt;=2.5,"Compliant",IF(J27&gt;=1.5,"Partially Compliant","Non-Compliant")))</f>
        <v/>
      </c>
    </row>
    <row r="28" ht="22" customHeight="1">
      <c r="A28" s="24" t="inlineStr">
        <is>
          <t>TPC-4</t>
        </is>
      </c>
      <c r="B28" s="11" t="inlineStr">
        <is>
          <t>Fourth-Party Oversight</t>
        </is>
      </c>
      <c r="C28" s="11" t="inlineStr">
        <is>
          <t>Third-Party Risk</t>
        </is>
      </c>
      <c r="D28" s="36" t="inlineStr">
        <is>
          <t>Standard</t>
        </is>
      </c>
      <c r="E28" s="10" t="n">
        <v>4</v>
      </c>
      <c r="F28" s="10">
        <f>COUNTIF('Third-Party &amp; Cloud'!K24:K27,"Compliant")</f>
        <v/>
      </c>
      <c r="G28" s="10">
        <f>COUNTIF('Third-Party &amp; Cloud'!K24:K27,"Partially Compliant")</f>
        <v/>
      </c>
      <c r="H28" s="10">
        <f>COUNTIF('Third-Party &amp; Cloud'!K24:K27,"Non-Compliant")</f>
        <v/>
      </c>
      <c r="I28" s="10">
        <f>COUNTIF('Third-Party &amp; Cloud'!K24:K27,"N/A")</f>
        <v/>
      </c>
      <c r="J28" s="35">
        <f>IFERROR(AVERAGE('Third-Party &amp; Cloud'!M24:M27),"")</f>
        <v/>
      </c>
      <c r="K28" s="10">
        <f>IF(J28="","",IF(J28&gt;=2.5,"Compliant",IF(J28&gt;=1.5,"Partially Compliant","Non-Compliant")))</f>
        <v/>
      </c>
    </row>
    <row r="29" ht="22" customHeight="1">
      <c r="A29" s="24" t="inlineStr">
        <is>
          <t>TPC-5</t>
        </is>
      </c>
      <c r="B29" s="11" t="inlineStr">
        <is>
          <t>Cloud Risk Assessment</t>
        </is>
      </c>
      <c r="C29" s="11" t="inlineStr">
        <is>
          <t>Cloud Services</t>
        </is>
      </c>
      <c r="D29" s="36" t="inlineStr">
        <is>
          <t>Standard</t>
        </is>
      </c>
      <c r="E29" s="10" t="n">
        <v>6</v>
      </c>
      <c r="F29" s="10">
        <f>COUNTIF('Third-Party &amp; Cloud'!K30:K35,"Compliant")</f>
        <v/>
      </c>
      <c r="G29" s="10">
        <f>COUNTIF('Third-Party &amp; Cloud'!K30:K35,"Partially Compliant")</f>
        <v/>
      </c>
      <c r="H29" s="10">
        <f>COUNTIF('Third-Party &amp; Cloud'!K30:K35,"Non-Compliant")</f>
        <v/>
      </c>
      <c r="I29" s="10">
        <f>COUNTIF('Third-Party &amp; Cloud'!K30:K35,"N/A")</f>
        <v/>
      </c>
      <c r="J29" s="35">
        <f>IFERROR(AVERAGE('Third-Party &amp; Cloud'!M30:M35),"")</f>
        <v/>
      </c>
      <c r="K29" s="10">
        <f>IF(J29="","",IF(J29&gt;=2.5,"Compliant",IF(J29&gt;=1.5,"Partially Compliant","Non-Compliant")))</f>
        <v/>
      </c>
    </row>
    <row r="30" ht="22" customHeight="1">
      <c r="A30" s="24" t="inlineStr">
        <is>
          <t>TPC-6</t>
        </is>
      </c>
      <c r="B30" s="11" t="inlineStr">
        <is>
          <t>Cloud Data Governance</t>
        </is>
      </c>
      <c r="C30" s="11" t="inlineStr">
        <is>
          <t>Cloud Services</t>
        </is>
      </c>
      <c r="D30" s="36" t="inlineStr">
        <is>
          <t>Standard</t>
        </is>
      </c>
      <c r="E30" s="10" t="n">
        <v>5</v>
      </c>
      <c r="F30" s="10">
        <f>COUNTIF('Third-Party &amp; Cloud'!K38:K42,"Compliant")</f>
        <v/>
      </c>
      <c r="G30" s="10">
        <f>COUNTIF('Third-Party &amp; Cloud'!K38:K42,"Partially Compliant")</f>
        <v/>
      </c>
      <c r="H30" s="10">
        <f>COUNTIF('Third-Party &amp; Cloud'!K38:K42,"Non-Compliant")</f>
        <v/>
      </c>
      <c r="I30" s="10">
        <f>COUNTIF('Third-Party &amp; Cloud'!K38:K42,"N/A")</f>
        <v/>
      </c>
      <c r="J30" s="35">
        <f>IFERROR(AVERAGE('Third-Party &amp; Cloud'!M38:M42),"")</f>
        <v/>
      </c>
      <c r="K30" s="10">
        <f>IF(J30="","",IF(J30&gt;=2.5,"Compliant",IF(J30&gt;=1.5,"Partially Compliant","Non-Compliant")))</f>
        <v/>
      </c>
    </row>
    <row r="31" ht="22" customHeight="1">
      <c r="A31" s="24" t="inlineStr">
        <is>
          <t>TPC-7</t>
        </is>
      </c>
      <c r="B31" s="11" t="inlineStr">
        <is>
          <t>Cloud Exit Strategy</t>
        </is>
      </c>
      <c r="C31" s="11" t="inlineStr">
        <is>
          <t>Cloud Services</t>
        </is>
      </c>
      <c r="D31" s="36" t="inlineStr">
        <is>
          <t>Standard</t>
        </is>
      </c>
      <c r="E31" s="10" t="n">
        <v>4</v>
      </c>
      <c r="F31" s="10">
        <f>COUNTIF('Third-Party &amp; Cloud'!K45:K48,"Compliant")</f>
        <v/>
      </c>
      <c r="G31" s="10">
        <f>COUNTIF('Third-Party &amp; Cloud'!K45:K48,"Partially Compliant")</f>
        <v/>
      </c>
      <c r="H31" s="10">
        <f>COUNTIF('Third-Party &amp; Cloud'!K45:K48,"Non-Compliant")</f>
        <v/>
      </c>
      <c r="I31" s="10">
        <f>COUNTIF('Third-Party &amp; Cloud'!K45:K48,"N/A")</f>
        <v/>
      </c>
      <c r="J31" s="35">
        <f>IFERROR(AVERAGE('Third-Party &amp; Cloud'!M45:M48),"")</f>
        <v/>
      </c>
      <c r="K31" s="10">
        <f>IF(J31="","",IF(J31&gt;=2.5,"Compliant",IF(J31&gt;=1.5,"Partially Compliant","Non-Compliant")))</f>
        <v/>
      </c>
    </row>
    <row r="32" ht="22" customHeight="1">
      <c r="A32" s="24" t="inlineStr">
        <is>
          <t>DET-1</t>
        </is>
      </c>
      <c r="B32" s="11" t="inlineStr">
        <is>
          <t>Data Governance Framework</t>
        </is>
      </c>
      <c r="C32" s="11" t="inlineStr">
        <is>
          <t>Data Management</t>
        </is>
      </c>
      <c r="D32" s="36" t="inlineStr">
        <is>
          <t>Standard</t>
        </is>
      </c>
      <c r="E32" s="10" t="n">
        <v>5</v>
      </c>
      <c r="F32" s="10">
        <f>COUNTIF('Data &amp; Emerging Technology'!K4:K8,"Compliant")</f>
        <v/>
      </c>
      <c r="G32" s="10">
        <f>COUNTIF('Data &amp; Emerging Technology'!K4:K8,"Partially Compliant")</f>
        <v/>
      </c>
      <c r="H32" s="10">
        <f>COUNTIF('Data &amp; Emerging Technology'!K4:K8,"Non-Compliant")</f>
        <v/>
      </c>
      <c r="I32" s="10">
        <f>COUNTIF('Data &amp; Emerging Technology'!K4:K8,"N/A")</f>
        <v/>
      </c>
      <c r="J32" s="35">
        <f>IFERROR(AVERAGE('Data &amp; Emerging Technology'!M4:M8),"")</f>
        <v/>
      </c>
      <c r="K32" s="10">
        <f>IF(J32="","",IF(J32&gt;=2.5,"Compliant",IF(J32&gt;=1.5,"Partially Compliant","Non-Compliant")))</f>
        <v/>
      </c>
    </row>
    <row r="33" ht="22" customHeight="1">
      <c r="A33" s="24" t="inlineStr">
        <is>
          <t>DET-2</t>
        </is>
      </c>
      <c r="B33" s="11" t="inlineStr">
        <is>
          <t>Market Data Integrity</t>
        </is>
      </c>
      <c r="C33" s="11" t="inlineStr">
        <is>
          <t>Data Management</t>
        </is>
      </c>
      <c r="D33" s="36" t="inlineStr">
        <is>
          <t>Standard</t>
        </is>
      </c>
      <c r="E33" s="10" t="n">
        <v>4</v>
      </c>
      <c r="F33" s="10">
        <f>COUNTIF('Data &amp; Emerging Technology'!K11:K14,"Compliant")</f>
        <v/>
      </c>
      <c r="G33" s="10">
        <f>COUNTIF('Data &amp; Emerging Technology'!K11:K14,"Partially Compliant")</f>
        <v/>
      </c>
      <c r="H33" s="10">
        <f>COUNTIF('Data &amp; Emerging Technology'!K11:K14,"Non-Compliant")</f>
        <v/>
      </c>
      <c r="I33" s="10">
        <f>COUNTIF('Data &amp; Emerging Technology'!K11:K14,"N/A")</f>
        <v/>
      </c>
      <c r="J33" s="35">
        <f>IFERROR(AVERAGE('Data &amp; Emerging Technology'!M11:M14),"")</f>
        <v/>
      </c>
      <c r="K33" s="10">
        <f>IF(J33="","",IF(J33&gt;=2.5,"Compliant",IF(J33&gt;=1.5,"Partially Compliant","Non-Compliant")))</f>
        <v/>
      </c>
    </row>
    <row r="34" ht="22" customHeight="1">
      <c r="A34" s="24" t="inlineStr">
        <is>
          <t>DET-3</t>
        </is>
      </c>
      <c r="B34" s="11" t="inlineStr">
        <is>
          <t>Client Data Protection</t>
        </is>
      </c>
      <c r="C34" s="11" t="inlineStr">
        <is>
          <t>Data Management</t>
        </is>
      </c>
      <c r="D34" s="34" t="inlineStr">
        <is>
          <t>Critical</t>
        </is>
      </c>
      <c r="E34" s="10" t="n">
        <v>5</v>
      </c>
      <c r="F34" s="10">
        <f>COUNTIF('Data &amp; Emerging Technology'!K17:K21,"Compliant")</f>
        <v/>
      </c>
      <c r="G34" s="10">
        <f>COUNTIF('Data &amp; Emerging Technology'!K17:K21,"Partially Compliant")</f>
        <v/>
      </c>
      <c r="H34" s="10">
        <f>COUNTIF('Data &amp; Emerging Technology'!K17:K21,"Non-Compliant")</f>
        <v/>
      </c>
      <c r="I34" s="10">
        <f>COUNTIF('Data &amp; Emerging Technology'!K17:K21,"N/A")</f>
        <v/>
      </c>
      <c r="J34" s="35">
        <f>IFERROR(AVERAGE('Data &amp; Emerging Technology'!M17:M21),"")</f>
        <v/>
      </c>
      <c r="K34" s="10">
        <f>IF(J34="","",IF(J34&gt;=2.5,"Compliant",IF(J34&gt;=1.5,"Partially Compliant","Non-Compliant")))</f>
        <v/>
      </c>
    </row>
    <row r="35" ht="22" customHeight="1">
      <c r="A35" s="24" t="inlineStr">
        <is>
          <t>DET-4</t>
        </is>
      </c>
      <c r="B35" s="11" t="inlineStr">
        <is>
          <t>Algorithmic Trading Governance</t>
        </is>
      </c>
      <c r="C35" s="11" t="inlineStr">
        <is>
          <t>Emerging Technology</t>
        </is>
      </c>
      <c r="D35" s="37" t="inlineStr">
        <is>
          <t>Conditional</t>
        </is>
      </c>
      <c r="E35" s="10" t="n">
        <v>5</v>
      </c>
      <c r="F35" s="10">
        <f>COUNTIF('Data &amp; Emerging Technology'!K24:K28,"Compliant")</f>
        <v/>
      </c>
      <c r="G35" s="10">
        <f>COUNTIF('Data &amp; Emerging Technology'!K24:K28,"Partially Compliant")</f>
        <v/>
      </c>
      <c r="H35" s="10">
        <f>COUNTIF('Data &amp; Emerging Technology'!K24:K28,"Non-Compliant")</f>
        <v/>
      </c>
      <c r="I35" s="10">
        <f>COUNTIF('Data &amp; Emerging Technology'!K24:K28,"N/A")</f>
        <v/>
      </c>
      <c r="J35" s="35">
        <f>IFERROR(AVERAGE('Data &amp; Emerging Technology'!M24:M28),"")</f>
        <v/>
      </c>
      <c r="K35" s="10">
        <f>IF(J35="","",IF(J35&gt;=2.5,"Compliant",IF(J35&gt;=1.5,"Partially Compliant","Non-Compliant")))</f>
        <v/>
      </c>
    </row>
    <row r="36" ht="22" customHeight="1">
      <c r="A36" s="24" t="inlineStr">
        <is>
          <t>DET-5</t>
        </is>
      </c>
      <c r="B36" s="11" t="inlineStr">
        <is>
          <t>AI/ML Risk Management</t>
        </is>
      </c>
      <c r="C36" s="11" t="inlineStr">
        <is>
          <t>Emerging Technology</t>
        </is>
      </c>
      <c r="D36" s="37" t="inlineStr">
        <is>
          <t>Conditional</t>
        </is>
      </c>
      <c r="E36" s="10" t="n">
        <v>5</v>
      </c>
      <c r="F36" s="10">
        <f>COUNTIF('Data &amp; Emerging Technology'!K31:K35,"Compliant")</f>
        <v/>
      </c>
      <c r="G36" s="10">
        <f>COUNTIF('Data &amp; Emerging Technology'!K31:K35,"Partially Compliant")</f>
        <v/>
      </c>
      <c r="H36" s="10">
        <f>COUNTIF('Data &amp; Emerging Technology'!K31:K35,"Non-Compliant")</f>
        <v/>
      </c>
      <c r="I36" s="10">
        <f>COUNTIF('Data &amp; Emerging Technology'!K31:K35,"N/A")</f>
        <v/>
      </c>
      <c r="J36" s="35">
        <f>IFERROR(AVERAGE('Data &amp; Emerging Technology'!M31:M35),"")</f>
        <v/>
      </c>
      <c r="K36" s="10">
        <f>IF(J36="","",IF(J36&gt;=2.5,"Compliant",IF(J36&gt;=1.5,"Partially Compliant","Non-Compliant")))</f>
        <v/>
      </c>
    </row>
    <row r="37" ht="22" customHeight="1">
      <c r="A37" s="24" t="inlineStr">
        <is>
          <t>DET-6</t>
        </is>
      </c>
      <c r="B37" s="11" t="inlineStr">
        <is>
          <t>DLT &amp; Digital Asset Controls</t>
        </is>
      </c>
      <c r="C37" s="11" t="inlineStr">
        <is>
          <t>Emerging Technology</t>
        </is>
      </c>
      <c r="D37" s="37" t="inlineStr">
        <is>
          <t>Conditional</t>
        </is>
      </c>
      <c r="E37" s="10" t="n">
        <v>5</v>
      </c>
      <c r="F37" s="10">
        <f>COUNTIF('Data &amp; Emerging Technology'!K38:K42,"Compliant")</f>
        <v/>
      </c>
      <c r="G37" s="10">
        <f>COUNTIF('Data &amp; Emerging Technology'!K38:K42,"Partially Compliant")</f>
        <v/>
      </c>
      <c r="H37" s="10">
        <f>COUNTIF('Data &amp; Emerging Technology'!K38:K42,"Non-Compliant")</f>
        <v/>
      </c>
      <c r="I37" s="10">
        <f>COUNTIF('Data &amp; Emerging Technology'!K38:K42,"N/A")</f>
        <v/>
      </c>
      <c r="J37" s="35">
        <f>IFERROR(AVERAGE('Data &amp; Emerging Technology'!M38:M42),"")</f>
        <v/>
      </c>
      <c r="K37" s="10">
        <f>IF(J37="","",IF(J37&gt;=2.5,"Compliant",IF(J37&gt;=1.5,"Partially Compliant","Non-Compliant")))</f>
        <v/>
      </c>
    </row>
    <row r="40" ht="28" customHeight="1">
      <c r="A40" s="33" t="inlineStr">
        <is>
          <t>SECTION B — DOMAIN SUMMARY</t>
        </is>
      </c>
    </row>
    <row r="41" ht="28" customHeight="1">
      <c r="A41" s="20" t="inlineStr">
        <is>
          <t>Domain</t>
        </is>
      </c>
      <c r="B41" s="20" t="inlineStr">
        <is>
          <t>Controls</t>
        </is>
      </c>
      <c r="C41" s="20" t="inlineStr">
        <is>
          <t>Avg Score</t>
        </is>
      </c>
      <c r="D41" s="20" t="inlineStr">
        <is>
          <t>Compliant</t>
        </is>
      </c>
      <c r="E41" s="20" t="inlineStr">
        <is>
          <t>Partial</t>
        </is>
      </c>
      <c r="F41" s="20" t="inlineStr">
        <is>
          <t>Non-Compliant</t>
        </is>
      </c>
      <c r="G41" s="20" t="inlineStr">
        <is>
          <t>Overall</t>
        </is>
      </c>
    </row>
    <row r="42" ht="22" customHeight="1">
      <c r="A42" s="38" t="inlineStr">
        <is>
          <t>Governance &amp; Oversight</t>
        </is>
      </c>
      <c r="B42" s="10" t="n">
        <v>4</v>
      </c>
      <c r="C42" s="35">
        <f>IFERROR(AVERAGE(J3,J4,J5,J6),"")</f>
        <v/>
      </c>
      <c r="D42" s="10">
        <f>SUM(F3,F4,F5,F6)</f>
        <v/>
      </c>
      <c r="E42" s="10">
        <f>SUM(G3,G4,G5,G6)</f>
        <v/>
      </c>
      <c r="F42" s="10">
        <f>SUM(H3,H4,H5,H6)</f>
        <v/>
      </c>
      <c r="G42" s="10">
        <f>IF(C42="","",IF(C42&gt;=2.5,"Compliant",IF(C42&gt;=1.5,"Partially Compliant","Non-Compliant")))</f>
        <v/>
      </c>
    </row>
    <row r="43" ht="22" customHeight="1">
      <c r="A43" s="38" t="inlineStr">
        <is>
          <t>Technology Risk Assessment</t>
        </is>
      </c>
      <c r="B43" s="10" t="n">
        <v>3</v>
      </c>
      <c r="C43" s="35">
        <f>IFERROR(AVERAGE(J7,J8,J9),"")</f>
        <v/>
      </c>
      <c r="D43" s="10">
        <f>SUM(F7,F8,F9)</f>
        <v/>
      </c>
      <c r="E43" s="10">
        <f>SUM(G7,G8,G9)</f>
        <v/>
      </c>
      <c r="F43" s="10">
        <f>SUM(H7,H8,H9)</f>
        <v/>
      </c>
      <c r="G43" s="10">
        <f>IF(C43="","",IF(C43&gt;=2.5,"Compliant",IF(C43&gt;=1.5,"Partially Compliant","Non-Compliant")))</f>
        <v/>
      </c>
    </row>
    <row r="44" ht="22" customHeight="1">
      <c r="A44" s="38" t="inlineStr">
        <is>
          <t>Cybersecurity</t>
        </is>
      </c>
      <c r="B44" s="10" t="n">
        <v>4</v>
      </c>
      <c r="C44" s="35">
        <f>IFERROR(AVERAGE(J13,J14,J15,J16),"")</f>
        <v/>
      </c>
      <c r="D44" s="10">
        <f>SUM(F13,F14,F15,F16)</f>
        <v/>
      </c>
      <c r="E44" s="10">
        <f>SUM(G13,G14,G15,G16)</f>
        <v/>
      </c>
      <c r="F44" s="10">
        <f>SUM(H13,H14,H15,H16)</f>
        <v/>
      </c>
      <c r="G44" s="10">
        <f>IF(C44="","",IF(C44&gt;=2.5,"Compliant",IF(C44&gt;=1.5,"Partially Compliant","Non-Compliant")))</f>
        <v/>
      </c>
    </row>
    <row r="45" ht="22" customHeight="1">
      <c r="A45" s="38" t="inlineStr">
        <is>
          <t>Business Continuity</t>
        </is>
      </c>
      <c r="B45" s="10" t="n">
        <v>4</v>
      </c>
      <c r="C45" s="35">
        <f>IFERROR(AVERAGE(J17,J18,J19,J20),"")</f>
        <v/>
      </c>
      <c r="D45" s="10">
        <f>SUM(F17,F18,F19,F20)</f>
        <v/>
      </c>
      <c r="E45" s="10">
        <f>SUM(G17,G18,G19,G20)</f>
        <v/>
      </c>
      <c r="F45" s="10">
        <f>SUM(H17,H18,H19,H20)</f>
        <v/>
      </c>
      <c r="G45" s="10">
        <f>IF(C45="","",IF(C45&gt;=2.5,"Compliant",IF(C45&gt;=1.5,"Partially Compliant","Non-Compliant")))</f>
        <v/>
      </c>
    </row>
    <row r="46" ht="22" customHeight="1">
      <c r="A46" s="38" t="inlineStr">
        <is>
          <t>Incident Management</t>
        </is>
      </c>
      <c r="B46" s="10" t="n">
        <v>4</v>
      </c>
      <c r="C46" s="35">
        <f>IFERROR(AVERAGE(J21,J22,J23,J24),"")</f>
        <v/>
      </c>
      <c r="D46" s="10">
        <f>SUM(F21,F22,F23,F24)</f>
        <v/>
      </c>
      <c r="E46" s="10">
        <f>SUM(G21,G22,G23,G24)</f>
        <v/>
      </c>
      <c r="F46" s="10">
        <f>SUM(H21,H22,H23,H24)</f>
        <v/>
      </c>
      <c r="G46" s="10">
        <f>IF(C46="","",IF(C46&gt;=2.5,"Compliant",IF(C46&gt;=1.5,"Partially Compliant","Non-Compliant")))</f>
        <v/>
      </c>
    </row>
    <row r="47" ht="22" customHeight="1">
      <c r="A47" s="38" t="inlineStr">
        <is>
          <t>Third-Party Risk</t>
        </is>
      </c>
      <c r="B47" s="10" t="n">
        <v>4</v>
      </c>
      <c r="C47" s="35">
        <f>IFERROR(AVERAGE(J25,J26,J27,J28),"")</f>
        <v/>
      </c>
      <c r="D47" s="10">
        <f>SUM(F25,F26,F27,F28)</f>
        <v/>
      </c>
      <c r="E47" s="10">
        <f>SUM(G25,G26,G27,G28)</f>
        <v/>
      </c>
      <c r="F47" s="10">
        <f>SUM(H25,H26,H27,H28)</f>
        <v/>
      </c>
      <c r="G47" s="10">
        <f>IF(C47="","",IF(C47&gt;=2.5,"Compliant",IF(C47&gt;=1.5,"Partially Compliant","Non-Compliant")))</f>
        <v/>
      </c>
    </row>
    <row r="48" ht="22" customHeight="1">
      <c r="A48" s="38" t="inlineStr">
        <is>
          <t>Cloud Services</t>
        </is>
      </c>
      <c r="B48" s="10" t="n">
        <v>3</v>
      </c>
      <c r="C48" s="35">
        <f>IFERROR(AVERAGE(J29,J30,J31),"")</f>
        <v/>
      </c>
      <c r="D48" s="10">
        <f>SUM(F29,F30,F31)</f>
        <v/>
      </c>
      <c r="E48" s="10">
        <f>SUM(G29,G30,G31)</f>
        <v/>
      </c>
      <c r="F48" s="10">
        <f>SUM(H29,H30,H31)</f>
        <v/>
      </c>
      <c r="G48" s="10">
        <f>IF(C48="","",IF(C48&gt;=2.5,"Compliant",IF(C48&gt;=1.5,"Partially Compliant","Non-Compliant")))</f>
        <v/>
      </c>
    </row>
    <row r="49" ht="22" customHeight="1">
      <c r="A49" s="38" t="inlineStr">
        <is>
          <t>Data Management</t>
        </is>
      </c>
      <c r="B49" s="10" t="n">
        <v>3</v>
      </c>
      <c r="C49" s="35">
        <f>IFERROR(AVERAGE(J32,J33,J34),"")</f>
        <v/>
      </c>
      <c r="D49" s="10">
        <f>SUM(F32,F33,F34)</f>
        <v/>
      </c>
      <c r="E49" s="10">
        <f>SUM(G32,G33,G34)</f>
        <v/>
      </c>
      <c r="F49" s="10">
        <f>SUM(H32,H33,H34)</f>
        <v/>
      </c>
      <c r="G49" s="10">
        <f>IF(C49="","",IF(C49&gt;=2.5,"Compliant",IF(C49&gt;=1.5,"Partially Compliant","Non-Compliant")))</f>
        <v/>
      </c>
    </row>
    <row r="50" ht="22" customHeight="1">
      <c r="A50" s="38" t="inlineStr">
        <is>
          <t>Technology Audit</t>
        </is>
      </c>
      <c r="B50" s="10" t="n">
        <v>3</v>
      </c>
      <c r="C50" s="35">
        <f>IFERROR(AVERAGE(J10,J11,J12),"")</f>
        <v/>
      </c>
      <c r="D50" s="10">
        <f>SUM(F10,F11,F12)</f>
        <v/>
      </c>
      <c r="E50" s="10">
        <f>SUM(G10,G11,G12)</f>
        <v/>
      </c>
      <c r="F50" s="10">
        <f>SUM(H10,H11,H12)</f>
        <v/>
      </c>
      <c r="G50" s="10">
        <f>IF(C50="","",IF(C50&gt;=2.5,"Compliant",IF(C50&gt;=1.5,"Partially Compliant","Non-Compliant")))</f>
        <v/>
      </c>
    </row>
    <row r="51" ht="22" customHeight="1">
      <c r="A51" s="38" t="inlineStr">
        <is>
          <t>Emerging Technology</t>
        </is>
      </c>
      <c r="B51" s="10" t="n">
        <v>3</v>
      </c>
      <c r="C51" s="35">
        <f>IFERROR(AVERAGE(J35,J36,J37),"")</f>
        <v/>
      </c>
      <c r="D51" s="10">
        <f>SUM(F35,F36,F37)</f>
        <v/>
      </c>
      <c r="E51" s="10">
        <f>SUM(G35,G36,G37)</f>
        <v/>
      </c>
      <c r="F51" s="10">
        <f>SUM(H35,H36,H37)</f>
        <v/>
      </c>
      <c r="G51" s="10">
        <f>IF(C51="","",IF(C51&gt;=2.5,"Compliant",IF(C51&gt;=1.5,"Partially Compliant","Non-Compliant")))</f>
        <v/>
      </c>
    </row>
    <row r="54" ht="28" customHeight="1">
      <c r="A54" s="33" t="inlineStr">
        <is>
          <t>SECTION C — OVERALL ASSESSMENT</t>
        </is>
      </c>
    </row>
    <row r="55">
      <c r="A55" s="39" t="inlineStr">
        <is>
          <t>Total Controls</t>
        </is>
      </c>
      <c r="B55" s="10" t="n">
        <v>35</v>
      </c>
    </row>
    <row r="56">
      <c r="A56" s="39" t="inlineStr">
        <is>
          <t>Controls Assessed (excl. N/A)</t>
        </is>
      </c>
      <c r="B56" s="10">
        <f>35-COUNTIF(K3:K37,"N/A")</f>
        <v/>
      </c>
    </row>
    <row r="57">
      <c r="A57" s="39" t="inlineStr">
        <is>
          <t>Overall Score</t>
        </is>
      </c>
      <c r="B57" s="40">
        <f>IFERROR(AVERAGE(C42,C43,C44,C45,C46,C47,C48,C49,C50,C51),"")</f>
        <v/>
      </c>
    </row>
    <row r="58">
      <c r="A58" s="39" t="inlineStr">
        <is>
          <t>Overall Conclusion</t>
        </is>
      </c>
      <c r="B58" s="41">
        <f>IF(B57="","",IF(B57&gt;=2.5,"Compliant",IF(B57&gt;=1.5,"Partially Compliant","Non-Compliant")))</f>
        <v/>
      </c>
    </row>
    <row r="59">
      <c r="A59" s="39" t="inlineStr">
        <is>
          <t>Compliance %</t>
        </is>
      </c>
      <c r="B59" s="42">
        <f>IFERROR(SUM(F3:F37)/B56*100,"")</f>
        <v/>
      </c>
    </row>
  </sheetData>
  <mergeCells count="8">
    <mergeCell ref="B59:D59"/>
    <mergeCell ref="A40:G40"/>
    <mergeCell ref="B57:D57"/>
    <mergeCell ref="A54:D54"/>
    <mergeCell ref="B56:D56"/>
    <mergeCell ref="B58:D58"/>
    <mergeCell ref="B55:D55"/>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2026-03-30T23:22:36Z</dcterms:created>
  <dcterms:modified xmlns:dcterms="http://purl.org/dc/terms/" xmlns:xsi="http://www.w3.org/2001/XMLSchema-instance" xsi:type="dcterms:W3CDTF">2026-03-30T23:22:37Z</dcterms:modified>
</cp:coreProperties>
</file>